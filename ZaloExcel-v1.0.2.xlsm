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310ECD6C-29D5-46F2-B65D-D28318725F58}" xr6:coauthVersionLast="47" xr6:coauthVersionMax="47" xr10:uidLastSave="{00000000-0000-0000-0000-000000000000}"/>
  <bookViews>
    <workbookView showHorizontalScroll="0" showVerticalScroll="0" showSheetTabs="0" xWindow="150" yWindow="1935" windowWidth="14865" windowHeight="13320" xr2:uid="{00000000-000D-0000-FFFF-FFFF00000000}"/>
  </bookViews>
  <sheets>
    <sheet name="Zalo Excel" sheetId="12" r:id="rId1"/>
    <sheet name="Tài trợ" sheetId="13" r:id="rId2"/>
    <sheet name="DASBOARD" sheetId="14" r:id="rId3"/>
    <sheet name="Processing" sheetId="15" r:id="rId4"/>
    <sheet name="Data" sheetId="16" r:id="rId5"/>
    <sheet name="Chart1" sheetId="19" r:id="rId6"/>
  </sheets>
  <functionGroups builtInGroupCount="19"/>
  <externalReferences>
    <externalReference r:id="rId7"/>
  </externalReferences>
  <definedNames>
    <definedName name="Calibri">#REF!</definedName>
    <definedName name="Music0" hidden="1" xlm="1">[1]Music!$A$3:$G$37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5" l="1"/>
  <c r="F18" i="15" s="1"/>
  <c r="E17" i="15"/>
  <c r="F17" i="15" s="1"/>
  <c r="E16" i="15"/>
  <c r="D15" i="15"/>
  <c r="E15" i="15" s="1"/>
  <c r="D14" i="15"/>
  <c r="E14" i="15" s="1"/>
  <c r="D13" i="15"/>
  <c r="C12" i="15"/>
  <c r="D12" i="15" s="1"/>
  <c r="C11" i="15"/>
  <c r="D11" i="15" s="1"/>
  <c r="C10" i="15"/>
  <c r="C9" i="15"/>
  <c r="H9" i="15" s="1"/>
  <c r="C8" i="15"/>
  <c r="H8" i="15" s="1"/>
  <c r="C7" i="15"/>
  <c r="H7" i="15" s="1"/>
  <c r="G6" i="15"/>
  <c r="H6" i="15" s="1"/>
  <c r="G5" i="15"/>
  <c r="H5" i="15" s="1"/>
  <c r="G4" i="15"/>
  <c r="H4" i="15" s="1"/>
  <c r="F3" i="15"/>
  <c r="G3" i="15" s="1"/>
  <c r="F2" i="15"/>
  <c r="G2" i="15" s="1"/>
  <c r="F1" i="15"/>
  <c r="G1" i="15" s="1"/>
  <c r="P6" i="14"/>
  <c r="P3" i="14"/>
  <c r="E13" i="15" l="1"/>
  <c r="D10" i="15"/>
  <c r="F16" i="15"/>
  <c r="I16" i="15" s="1"/>
  <c r="I4" i="15"/>
  <c r="I10" i="15" l="1"/>
  <c r="I13" i="15"/>
  <c r="N6" i="15" s="1"/>
  <c r="J16" i="15"/>
  <c r="N7" i="15"/>
  <c r="N5" i="15"/>
  <c r="J10" i="15"/>
  <c r="J4" i="15"/>
  <c r="N3" i="15"/>
  <c r="I1" i="15"/>
  <c r="I7" i="15"/>
  <c r="J13" i="15" l="1"/>
  <c r="N4" i="15"/>
  <c r="J7" i="15"/>
  <c r="J1" i="15"/>
  <c r="N2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  <comment ref="B3" authorId="0" shapeId="0" xr:uid="{19CCFFF3-A90D-43A5-87B3-36DD5713F341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 xml:space="preserve">Chọn từng người gửi bằng cách Giữ nút </t>
        </r>
        <r>
          <rPr>
            <sz val="16"/>
            <color indexed="81"/>
            <rFont val="Tahoma"/>
            <family val="2"/>
          </rPr>
          <t>Ctrl</t>
        </r>
        <r>
          <rPr>
            <sz val="14"/>
            <color indexed="81"/>
            <rFont val="Tahoma"/>
            <family val="2"/>
          </rPr>
          <t xml:space="preserve"> và chọn Tên/Phone sau đó nhấn nút </t>
        </r>
        <r>
          <rPr>
            <sz val="18"/>
            <color indexed="81"/>
            <rFont val="Tahoma"/>
            <family val="2"/>
          </rPr>
          <t xml:space="preserve">Gửi
</t>
        </r>
      </text>
    </comment>
    <comment ref="D3" authorId="0" shapeId="0" xr:uid="{7FEAEA5C-DEF3-461D-A080-30E4301E3620}">
      <text>
        <r>
          <rPr>
            <b/>
            <sz val="9"/>
            <color indexed="81"/>
            <rFont val="Tahoma"/>
            <family val="2"/>
          </rPr>
          <t xml:space="preserve">Sanbi:
</t>
        </r>
        <r>
          <rPr>
            <b/>
            <sz val="14"/>
            <color indexed="81"/>
            <rFont val="Tahoma"/>
            <family val="2"/>
          </rPr>
          <t xml:space="preserve">1. Gửi tập tin: có thể chọn nhiều tập tin
2. Chọn vùng ô để tạo hình ảnh và gửi: bằng cách Giữ nút Ctrl và chọn ô. Chọn khác trang tính sẽ tự động ghép với các ô đã chọn trước đó.
3. Gửi đối tượng: sao chép hình ảnh, biểu đồ, ...
Chọn ô cột D và nhấn Nút [Ô/ĐT] để thêm vào ô, nếu ô tồn tại sẽ cộng dồn.
*** Một ô chỉ chứa một kiểu tệp / vùng ô / đối tượng
</t>
        </r>
      </text>
    </comment>
  </commentList>
</comments>
</file>

<file path=xl/sharedStrings.xml><?xml version="1.0" encoding="utf-8"?>
<sst xmlns="http://schemas.openxmlformats.org/spreadsheetml/2006/main" count="87" uniqueCount="39">
  <si>
    <t>BET_Keno</t>
  </si>
  <si>
    <t>Trạng thái</t>
  </si>
  <si>
    <t>Thời gian gửi</t>
  </si>
  <si>
    <t>Thông tin người nhận</t>
  </si>
  <si>
    <t>*Lưu ý</t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</si>
  <si>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</si>
  <si>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t>cloud của tôi</t>
  </si>
  <si>
    <t>Zalo v1.0.2</t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</si>
  <si>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</si>
  <si>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t>Đính kèm tập tin</t>
  </si>
  <si>
    <t>Đính kèm biểu đồ</t>
  </si>
  <si>
    <t>Đính kèm hình ảnh ô</t>
  </si>
  <si>
    <t>A</t>
  </si>
  <si>
    <t>B</t>
  </si>
  <si>
    <t>C</t>
  </si>
  <si>
    <t>MONTH:</t>
  </si>
  <si>
    <t>Chart</t>
  </si>
  <si>
    <t>GROUPS</t>
  </si>
  <si>
    <t>Branch</t>
  </si>
  <si>
    <t>Group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</si>
  <si>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</si>
  <si>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</si>
  <si>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</si>
  <si>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</si>
  <si>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</si>
  <si>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</si>
  <si>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</si>
  <si>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</si>
  <si>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</si>
  <si>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</si>
  <si>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</si>
  <si>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</si>
  <si>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"D:\DevCode\Excel\HeSanbiUDF\ZaloExcel\ZaloExcel-v1.0.2.xlsm"</t>
  </si>
  <si>
    <t>Tin nhắn 1</t>
  </si>
  <si>
    <r>
      <rPr>
        <b/>
        <i/>
        <sz val="10"/>
        <color theme="0"/>
        <rFont val="Arial"/>
        <family val="2"/>
        <scheme val="minor"/>
      </rPr>
      <t xml:space="preserve">Tệp / Ô / Đối tượng </t>
    </r>
    <r>
      <rPr>
        <b/>
        <i/>
        <sz val="10"/>
        <color rgb="FFFFFFFF"/>
        <rFont val="Arial"/>
        <family val="2"/>
        <scheme val="minor"/>
      </rPr>
      <t>/ Bộ nhớ tạm</t>
    </r>
  </si>
  <si>
    <t>"Group 24//'[6//'[ZaloExcel-v1.0.2.xlsm]DASBOARD'","Oval Callout 19//'[24//'[ZaloExcel-v1.0.2.xlsm]DASBOARD'","Picture 26//'[25//'[ZaloExcel-v1.0.2.xlsm]DASBOARD'"</t>
  </si>
  <si>
    <t>[Bộ nhớ tạm]</t>
  </si>
  <si>
    <t>Dán trong bộ nhớ tạm</t>
  </si>
  <si>
    <t>"'[ZaloExcel-v1.0.2.xlsm]Zalo Excel'!B$3:C$8","'[ZaloExcel-v1.0.2.xlsm]Zalo Excel'!F$3:G$7"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</si>
</sst>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0"/>
      <color indexed="53"/>
      <name val="Calibri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i/>
      <sz val="11"/>
      <color rgb="FF7F7F7F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FFFF00"/>
      <name val="Agency FB"/>
      <family val="2"/>
    </font>
    <font>
      <b/>
      <i/>
      <sz val="10"/>
      <color rgb="FFFF0000"/>
      <name val="Arial"/>
      <family val="2"/>
      <scheme val="minor"/>
    </font>
    <font>
      <b/>
      <i/>
      <sz val="10"/>
      <color rgb="FFFFFF00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theme="1"/>
      <name val="Arial"/>
      <family val="2"/>
      <charset val="163"/>
      <scheme val="minor"/>
    </font>
    <font>
      <b/>
      <i/>
      <sz val="10"/>
      <color rgb="FFFFFFFF"/>
      <name val="Arial"/>
      <family val="2"/>
      <scheme val="minor"/>
    </font>
    <font>
      <b/>
      <i/>
      <sz val="10"/>
      <color rgb="FFFF33CC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6"/>
      <color theme="0"/>
      <name val="Arial"/>
      <family val="2"/>
      <scheme val="minor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6"/>
      <color indexed="81"/>
      <name val="Tahoma"/>
      <family val="2"/>
    </font>
    <font>
      <sz val="18"/>
      <color indexed="81"/>
      <name val="Tahoma"/>
      <family val="2"/>
    </font>
    <font>
      <b/>
      <sz val="10"/>
      <color rgb="FF00B0F0"/>
      <name val="Arial"/>
      <family val="2"/>
    </font>
    <font>
      <b/>
      <i/>
      <sz val="10"/>
      <color theme="0"/>
      <name val="Arial"/>
      <family val="2"/>
      <scheme val="minor"/>
    </font>
    <font>
      <b/>
      <sz val="14"/>
      <color indexed="81"/>
      <name val="Tahoma"/>
      <family val="2"/>
    </font>
    <font>
      <sz val="11"/>
      <color theme="1"/>
      <name val="Arial"/>
      <family val="2"/>
      <charset val="1"/>
      <scheme val="minor"/>
    </font>
    <font>
      <sz val="18"/>
      <color theme="0"/>
      <name val="Arial"/>
      <family val="2"/>
      <charset val="1"/>
      <scheme val="minor"/>
    </font>
    <font>
      <sz val="11"/>
      <color rgb="FFFF0000"/>
      <name val="Arial"/>
      <family val="2"/>
      <charset val="1"/>
      <scheme val="minor"/>
    </font>
    <font>
      <sz val="18"/>
      <color theme="0"/>
      <name val="Arial"/>
      <family val="2"/>
      <charset val="204"/>
      <scheme val="minor"/>
    </font>
    <font>
      <sz val="18"/>
      <color rgb="FFFF0000"/>
      <name val="Arial"/>
      <family val="2"/>
      <charset val="1"/>
      <scheme val="minor"/>
    </font>
    <font>
      <u/>
      <sz val="11"/>
      <color theme="10"/>
      <name val="Arial"/>
      <family val="2"/>
      <charset val="1"/>
      <scheme val="minor"/>
    </font>
    <font>
      <u/>
      <sz val="14"/>
      <color theme="4" tint="0.79998168889431442"/>
      <name val="Arial"/>
      <family val="2"/>
      <charset val="1"/>
      <scheme val="minor"/>
    </font>
    <font>
      <b/>
      <sz val="11"/>
      <color theme="1"/>
      <name val="Arial"/>
      <family val="2"/>
      <charset val="204"/>
      <scheme val="minor"/>
    </font>
    <font>
      <b/>
      <sz val="10"/>
      <color rgb="FFFFFFFF"/>
      <name val="Arial"/>
      <family val="2"/>
    </font>
    <font>
      <b/>
      <sz val="10"/>
      <color rgb="FF00FFFF"/>
      <name val="Arial"/>
      <family val="2"/>
    </font>
    <font>
      <b/>
      <sz val="10"/>
      <color rgb="FF00FF00"/>
      <name val="Arial"/>
      <family val="2"/>
    </font>
    <font>
      <b/>
      <sz val="10"/>
      <color rgb="FFFFFF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9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2" fillId="0" borderId="0"/>
    <xf numFmtId="0" fontId="1" fillId="0" borderId="0"/>
    <xf numFmtId="0" fontId="1" fillId="0" borderId="0"/>
    <xf numFmtId="0" fontId="29" fillId="0" borderId="0"/>
    <xf numFmtId="0" fontId="34" fillId="0" borderId="0" applyNumberFormat="0" applyFill="0" applyBorder="0" applyAlignment="0" applyProtection="0"/>
  </cellStyleXfs>
  <cellXfs count="41">
    <xf numFmtId="0" fontId="0" fillId="0" borderId="0" xfId="0"/>
    <xf numFmtId="0" fontId="6" fillId="2" borderId="0" xfId="1" applyFont="1" applyFill="1" applyAlignment="1">
      <alignment vertical="center"/>
    </xf>
    <xf numFmtId="0" fontId="3" fillId="2" borderId="0" xfId="1" applyFill="1"/>
    <xf numFmtId="0" fontId="5" fillId="2" borderId="0" xfId="3" applyFill="1"/>
    <xf numFmtId="0" fontId="7" fillId="2" borderId="0" xfId="1" applyFont="1" applyFill="1" applyBorder="1" applyAlignment="1">
      <alignment vertical="center"/>
    </xf>
    <xf numFmtId="0" fontId="8" fillId="2" borderId="1" xfId="2" applyFont="1" applyFill="1" applyBorder="1" applyAlignment="1">
      <alignment horizontal="right" vertical="center"/>
    </xf>
    <xf numFmtId="0" fontId="9" fillId="2" borderId="0" xfId="1" applyFont="1" applyFill="1" applyBorder="1" applyAlignment="1">
      <alignment vertical="center"/>
    </xf>
    <xf numFmtId="0" fontId="13" fillId="2" borderId="0" xfId="3" applyFont="1" applyFill="1"/>
    <xf numFmtId="0" fontId="14" fillId="3" borderId="1" xfId="2" applyFont="1" applyFill="1" applyBorder="1" applyAlignment="1">
      <alignment horizontal="center" vertical="center"/>
    </xf>
    <xf numFmtId="0" fontId="17" fillId="2" borderId="0" xfId="0" applyFont="1" applyFill="1" applyAlignment="1">
      <alignment vertical="top"/>
    </xf>
    <xf numFmtId="0" fontId="12" fillId="2" borderId="0" xfId="1" applyFont="1" applyFill="1" applyAlignment="1">
      <alignment vertical="top"/>
    </xf>
    <xf numFmtId="0" fontId="14" fillId="3" borderId="1" xfId="2" applyFont="1" applyFill="1" applyBorder="1" applyAlignment="1">
      <alignment horizontal="left" vertical="center"/>
    </xf>
    <xf numFmtId="0" fontId="30" fillId="4" borderId="0" xfId="7" applyFont="1" applyFill="1" applyAlignment="1">
      <alignment horizontal="left"/>
    </xf>
    <xf numFmtId="0" fontId="31" fillId="4" borderId="0" xfId="7" applyFont="1" applyFill="1"/>
    <xf numFmtId="0" fontId="32" fillId="4" borderId="0" xfId="7" applyFont="1" applyFill="1" applyAlignment="1">
      <alignment horizontal="left"/>
    </xf>
    <xf numFmtId="0" fontId="33" fillId="4" borderId="0" xfId="7" applyFont="1" applyFill="1" applyAlignment="1">
      <alignment horizontal="right"/>
    </xf>
    <xf numFmtId="0" fontId="31" fillId="4" borderId="0" xfId="7" applyFont="1" applyFill="1" applyAlignment="1">
      <alignment horizontal="right"/>
    </xf>
    <xf numFmtId="0" fontId="29" fillId="0" borderId="2" xfId="7" applyBorder="1" applyAlignment="1">
      <alignment horizontal="center"/>
    </xf>
    <xf numFmtId="0" fontId="29" fillId="0" borderId="0" xfId="7" applyAlignment="1">
      <alignment horizontal="center"/>
    </xf>
    <xf numFmtId="0" fontId="29" fillId="0" borderId="0" xfId="7"/>
    <xf numFmtId="0" fontId="29" fillId="0" borderId="3" xfId="7" applyBorder="1" applyAlignment="1">
      <alignment horizontal="center"/>
    </xf>
    <xf numFmtId="0" fontId="29" fillId="0" borderId="4" xfId="7" applyBorder="1" applyAlignment="1">
      <alignment horizontal="center"/>
    </xf>
    <xf numFmtId="0" fontId="36" fillId="0" borderId="0" xfId="7" applyFont="1" applyAlignment="1">
      <alignment horizontal="center" vertical="center"/>
    </xf>
    <xf numFmtId="0" fontId="36" fillId="0" borderId="0" xfId="7" applyFont="1" applyAlignment="1">
      <alignment horizontal="center"/>
    </xf>
    <xf numFmtId="14" fontId="29" fillId="0" borderId="0" xfId="7" applyNumberFormat="1" applyAlignment="1">
      <alignment horizontal="center"/>
    </xf>
    <xf numFmtId="0" fontId="35" fillId="4" borderId="0" xfId="8" applyFont="1" applyFill="1" applyAlignment="1"/>
    <xf numFmtId="0" fontId="31" fillId="4" borderId="0" xfId="7" applyFont="1" applyFill="1" applyAlignment="1"/>
    <xf numFmtId="0" fontId="29" fillId="0" borderId="2" xfId="7" applyBorder="1" applyAlignment="1">
      <alignment horizontal="center" vertical="center"/>
    </xf>
    <xf numFmtId="0" fontId="29" fillId="0" borderId="3" xfId="7" applyBorder="1" applyAlignment="1">
      <alignment horizontal="center" vertical="center"/>
    </xf>
    <xf numFmtId="0" fontId="29" fillId="0" borderId="4" xfId="7" applyBorder="1" applyAlignment="1">
      <alignment horizontal="center" vertical="center"/>
    </xf>
    <xf numFmtId="0" fontId="15" fillId="2" borderId="1" xfId="2" quotePrefix="1" applyFont="1" applyFill="1" applyBorder="1" applyAlignment="1">
      <alignment horizontal="justify" vertical="center"/>
    </xf>
    <xf numFmtId="0" fontId="26" fillId="2" borderId="1" xfId="3" applyFont="1" applyFill="1" applyBorder="1" applyAlignment="1">
      <alignment horizontal="justify" vertical="center"/>
    </xf>
    <xf numFmtId="0" fontId="16" fillId="2" borderId="1" xfId="3" applyFont="1" applyFill="1" applyBorder="1" applyAlignment="1">
      <alignment horizontal="justify" vertical="center"/>
    </xf>
    <xf numFmtId="0" fontId="11" fillId="2" borderId="1" xfId="2" applyFont="1" applyFill="1" applyBorder="1" applyAlignment="1">
      <alignment horizontal="justify" vertical="center"/>
    </xf>
    <xf numFmtId="22" fontId="11" fillId="2" borderId="1" xfId="2" applyNumberFormat="1" applyFont="1" applyFill="1" applyBorder="1" applyAlignment="1">
      <alignment horizontal="justify" vertical="center"/>
    </xf>
    <xf numFmtId="0" fontId="39" fillId="2" borderId="1" xfId="3" applyFont="1" applyFill="1" applyBorder="1" applyAlignment="1">
      <alignment horizontal="justify" vertical="center"/>
    </xf>
    <xf numFmtId="0" fontId="37" fillId="2" borderId="1" xfId="3" applyFont="1" applyFill="1" applyBorder="1" applyAlignment="1">
      <alignment horizontal="justify" vertical="center"/>
    </xf>
    <xf numFmtId="0" fontId="40" fillId="2" borderId="1" xfId="3" applyFont="1" applyFill="1" applyBorder="1" applyAlignment="1">
      <alignment horizontal="justify" vertical="center"/>
    </xf>
    <xf numFmtId="0" fontId="38" fillId="2" borderId="1" xfId="3" applyFont="1" applyFill="1" applyBorder="1" applyAlignment="1">
      <alignment horizontal="justify" vertical="center"/>
    </xf>
    <xf numFmtId="0" fontId="15" fillId="2" borderId="1" xfId="2" applyFont="1" applyFill="1" applyBorder="1" applyAlignment="1">
      <alignment horizontal="justify" vertical="center"/>
    </xf>
    <xf numFmtId="0" fontId="26" fillId="2" borderId="1" xfId="3" quotePrefix="1" applyFont="1" applyFill="1" applyBorder="1" applyAlignment="1">
      <alignment horizontal="justify" vertical="top"/>
    </xf>
  </cellXfs>
  <cellStyles count="9">
    <cellStyle name="Bình thường 4" xfId="3" xr:uid="{00000000-0005-0000-0000-000001000000}"/>
    <cellStyle name="Hyperlink 2" xfId="8" xr:uid="{63B80E5C-3817-46D4-83C8-BACF6E5ED2AB}"/>
    <cellStyle name="Normal" xfId="0" builtinId="0"/>
    <cellStyle name="Normal 2" xfId="7" xr:uid="{4A82FAD4-F1C7-45FF-B5D6-CE9EBA182393}"/>
    <cellStyle name="Normal 3 2" xfId="1" xr:uid="{00000000-0005-0000-0000-000002000000}"/>
    <cellStyle name="Normal 3 2 2" xfId="4" xr:uid="{00000000-0005-0000-0000-000003000000}"/>
    <cellStyle name="Normal 3 2 2 2" xfId="6" xr:uid="{00000000-0005-0000-0000-000004000000}"/>
    <cellStyle name="Normal 3 2 3" xfId="5" xr:uid="{00000000-0005-0000-0000-000005000000}"/>
    <cellStyle name="Văn bản Giải thích 2" xfId="2" xr:uid="{00000000-0005-0000-0000-000006000000}"/>
  </cellStyles>
  <dxfs count="82"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FF00"/>
      </font>
    </dxf>
    <dxf>
      <font>
        <color rgb="FF00FF00"/>
      </font>
    </dxf>
    <dxf>
      <font>
        <color rgb="FF00FF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colors>
    <mruColors>
      <color rgb="FFFF33CC"/>
      <color rgb="FFFFFFFF"/>
      <color rgb="FF0A001E"/>
      <color rgb="FF1E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0"/>
          <c:order val="0"/>
          <c:spPr>
            <a:solidFill>
              <a:srgbClr val="944BFC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Processing!$C$1:$H$1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100</c:v>
                </c:pt>
                <c:pt idx="4">
                  <c:v>100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5C-431C-9DF4-4A8BB964C703}"/>
            </c:ext>
          </c:extLst>
        </c:ser>
        <c:ser>
          <c:idx val="1"/>
          <c:order val="1"/>
          <c:spPr>
            <a:solidFill>
              <a:srgbClr val="5A00B8"/>
            </a:solidFill>
            <a:ln>
              <a:noFill/>
            </a:ln>
            <a:effectLst/>
          </c:spPr>
          <c:val>
            <c:numRef>
              <c:f>Processing!$C$2:$H$2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90</c:v>
                </c:pt>
                <c:pt idx="4">
                  <c:v>90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5C-431C-9DF4-4A8BB964C703}"/>
            </c:ext>
          </c:extLst>
        </c:ser>
        <c:ser>
          <c:idx val="2"/>
          <c:order val="2"/>
          <c:spPr>
            <a:solidFill>
              <a:srgbClr val="7500DB"/>
            </a:solidFill>
            <a:ln>
              <a:noFill/>
            </a:ln>
            <a:effectLst/>
          </c:spPr>
          <c:val>
            <c:numRef>
              <c:f>Processing!$C$3:$H$3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70</c:v>
                </c:pt>
                <c:pt idx="4">
                  <c:v>70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5C-431C-9DF4-4A8BB964C703}"/>
            </c:ext>
          </c:extLst>
        </c:ser>
        <c:ser>
          <c:idx val="3"/>
          <c:order val="3"/>
          <c:spPr>
            <a:solidFill>
              <a:srgbClr val="A2FEFD"/>
            </a:solidFill>
            <a:ln w="25400"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Processing!$C$4:$H$4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</c:v>
                </c:pt>
                <c:pt idx="5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5C-431C-9DF4-4A8BB964C703}"/>
            </c:ext>
          </c:extLst>
        </c:ser>
        <c:ser>
          <c:idx val="4"/>
          <c:order val="4"/>
          <c:spPr>
            <a:solidFill>
              <a:srgbClr val="00E1E5"/>
            </a:solidFill>
            <a:ln w="25400">
              <a:noFill/>
            </a:ln>
            <a:effectLst/>
          </c:spPr>
          <c:val>
            <c:numRef>
              <c:f>Processing!$C$5:$H$5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70</c:v>
                </c:pt>
                <c:pt idx="5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5C-431C-9DF4-4A8BB964C703}"/>
            </c:ext>
          </c:extLst>
        </c:ser>
        <c:ser>
          <c:idx val="5"/>
          <c:order val="5"/>
          <c:spPr>
            <a:solidFill>
              <a:srgbClr val="65FDF1"/>
            </a:solidFill>
            <a:ln w="25400">
              <a:noFill/>
            </a:ln>
            <a:effectLst/>
          </c:spPr>
          <c:val>
            <c:numRef>
              <c:f>Processing!$C$6:$H$6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5C-431C-9DF4-4A8BB964C703}"/>
            </c:ext>
          </c:extLst>
        </c:ser>
        <c:ser>
          <c:idx val="6"/>
          <c:order val="6"/>
          <c:spPr>
            <a:solidFill>
              <a:srgbClr val="6FF7FF"/>
            </a:solidFill>
            <a:ln w="25400">
              <a:noFill/>
            </a:ln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Processing!$C$7:$H$7</c:f>
              <c:numCache>
                <c:formatCode>General</c:formatCode>
                <c:ptCount val="6"/>
                <c:pt idx="0">
                  <c:v>60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5C-431C-9DF4-4A8BB964C703}"/>
            </c:ext>
          </c:extLst>
        </c:ser>
        <c:ser>
          <c:idx val="7"/>
          <c:order val="7"/>
          <c:spPr>
            <a:solidFill>
              <a:srgbClr val="00C3CF"/>
            </a:solidFill>
            <a:ln w="25400">
              <a:noFill/>
            </a:ln>
            <a:effectLst/>
          </c:spPr>
          <c:val>
            <c:numRef>
              <c:f>Processing!$C$8:$H$8</c:f>
              <c:numCache>
                <c:formatCode>General</c:formatCode>
                <c:ptCount val="6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5C-431C-9DF4-4A8BB964C703}"/>
            </c:ext>
          </c:extLst>
        </c:ser>
        <c:ser>
          <c:idx val="8"/>
          <c:order val="8"/>
          <c:spPr>
            <a:solidFill>
              <a:srgbClr val="14DEE6"/>
            </a:solidFill>
            <a:ln w="25400">
              <a:noFill/>
            </a:ln>
            <a:effectLst/>
          </c:spPr>
          <c:val>
            <c:numRef>
              <c:f>Processing!$C$9:$H$9</c:f>
              <c:numCache>
                <c:formatCode>General</c:formatCode>
                <c:ptCount val="6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5C-431C-9DF4-4A8BB964C703}"/>
            </c:ext>
          </c:extLst>
        </c:ser>
        <c:ser>
          <c:idx val="9"/>
          <c:order val="9"/>
          <c:spPr>
            <a:solidFill>
              <a:srgbClr val="FE9844"/>
            </a:solidFill>
            <a:ln w="25400">
              <a:noFill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Processing!$C$10:$H$10</c:f>
              <c:numCache>
                <c:formatCode>General</c:formatCode>
                <c:ptCount val="6"/>
                <c:pt idx="0">
                  <c:v>80</c:v>
                </c:pt>
                <c:pt idx="1">
                  <c:v>80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5C-431C-9DF4-4A8BB964C703}"/>
            </c:ext>
          </c:extLst>
        </c:ser>
        <c:ser>
          <c:idx val="10"/>
          <c:order val="10"/>
          <c:spPr>
            <a:solidFill>
              <a:srgbClr val="F45201"/>
            </a:solidFill>
            <a:ln w="25400">
              <a:noFill/>
            </a:ln>
            <a:effectLst/>
          </c:spPr>
          <c:val>
            <c:numRef>
              <c:f>Processing!$C$11:$H$11</c:f>
              <c:numCache>
                <c:formatCode>General</c:formatCode>
                <c:ptCount val="6"/>
                <c:pt idx="0">
                  <c:v>70</c:v>
                </c:pt>
                <c:pt idx="1">
                  <c:v>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5C-431C-9DF4-4A8BB964C703}"/>
            </c:ext>
          </c:extLst>
        </c:ser>
        <c:ser>
          <c:idx val="11"/>
          <c:order val="11"/>
          <c:spPr>
            <a:solidFill>
              <a:srgbClr val="FF7C22"/>
            </a:solidFill>
            <a:ln w="25400">
              <a:noFill/>
            </a:ln>
            <a:effectLst/>
          </c:spPr>
          <c:val>
            <c:numRef>
              <c:f>Processing!$C$12:$H$12</c:f>
              <c:numCache>
                <c:formatCode>General</c:formatCode>
                <c:ptCount val="6"/>
                <c:pt idx="0">
                  <c:v>60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5C-431C-9DF4-4A8BB964C703}"/>
            </c:ext>
          </c:extLst>
        </c:ser>
        <c:ser>
          <c:idx val="12"/>
          <c:order val="12"/>
          <c:spPr>
            <a:solidFill>
              <a:srgbClr val="FF83E7"/>
            </a:solidFill>
            <a:ln w="25400"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Processing!$C$13:$H$13</c:f>
              <c:numCache>
                <c:formatCode>General</c:formatCode>
                <c:ptCount val="6"/>
                <c:pt idx="0">
                  <c:v>0</c:v>
                </c:pt>
                <c:pt idx="1">
                  <c:v>70</c:v>
                </c:pt>
                <c:pt idx="2">
                  <c:v>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E5C-431C-9DF4-4A8BB964C703}"/>
            </c:ext>
          </c:extLst>
        </c:ser>
        <c:ser>
          <c:idx val="13"/>
          <c:order val="13"/>
          <c:spPr>
            <a:solidFill>
              <a:srgbClr val="F02BC1"/>
            </a:solidFill>
            <a:ln w="25400">
              <a:noFill/>
            </a:ln>
            <a:effectLst/>
          </c:spPr>
          <c:val>
            <c:numRef>
              <c:f>Processing!$C$14:$H$14</c:f>
              <c:numCache>
                <c:formatCode>General</c:formatCode>
                <c:ptCount val="6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5C-431C-9DF4-4A8BB964C703}"/>
            </c:ext>
          </c:extLst>
        </c:ser>
        <c:ser>
          <c:idx val="14"/>
          <c:order val="14"/>
          <c:spPr>
            <a:solidFill>
              <a:srgbClr val="FF64C6"/>
            </a:solidFill>
            <a:ln w="25400">
              <a:noFill/>
            </a:ln>
            <a:effectLst/>
          </c:spPr>
          <c:val>
            <c:numRef>
              <c:f>Processing!$C$15:$H$15</c:f>
              <c:numCache>
                <c:formatCode>General</c:formatCode>
                <c:ptCount val="6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5C-431C-9DF4-4A8BB964C703}"/>
            </c:ext>
          </c:extLst>
        </c:ser>
        <c:ser>
          <c:idx val="15"/>
          <c:order val="15"/>
          <c:spPr>
            <a:solidFill>
              <a:srgbClr val="DD31DD"/>
            </a:soli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val>
            <c:numRef>
              <c:f>Processing!$C$16:$H$16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80</c:v>
                </c:pt>
                <c:pt idx="3">
                  <c:v>80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E5C-431C-9DF4-4A8BB964C703}"/>
            </c:ext>
          </c:extLst>
        </c:ser>
        <c:ser>
          <c:idx val="16"/>
          <c:order val="16"/>
          <c:spPr>
            <a:solidFill>
              <a:srgbClr val="AF00BD"/>
            </a:solidFill>
            <a:ln w="25400">
              <a:noFill/>
            </a:ln>
            <a:effectLst/>
          </c:spPr>
          <c:val>
            <c:numRef>
              <c:f>Processing!$C$17:$H$17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70</c:v>
                </c:pt>
                <c:pt idx="3">
                  <c:v>70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E5C-431C-9DF4-4A8BB964C703}"/>
            </c:ext>
          </c:extLst>
        </c:ser>
        <c:ser>
          <c:idx val="17"/>
          <c:order val="17"/>
          <c:spPr>
            <a:solidFill>
              <a:srgbClr val="CC00D3"/>
            </a:solidFill>
            <a:ln w="25400">
              <a:noFill/>
            </a:ln>
            <a:effectLst/>
          </c:spPr>
          <c:val>
            <c:numRef>
              <c:f>Processing!$C$18:$H$18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5C-431C-9DF4-4A8BB964C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487872"/>
        <c:axId val="431500384"/>
      </c:radarChart>
      <c:catAx>
        <c:axId val="431487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431500384"/>
        <c:crosses val="autoZero"/>
        <c:auto val="1"/>
        <c:lblAlgn val="ctr"/>
        <c:lblOffset val="100"/>
        <c:noMultiLvlLbl val="0"/>
      </c:catAx>
      <c:valAx>
        <c:axId val="4315003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148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44BF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EBD-4410-A1DA-C437128511BF}"/>
              </c:ext>
            </c:extLst>
          </c:dPt>
          <c:dPt>
            <c:idx val="1"/>
            <c:invertIfNegative val="0"/>
            <c:bubble3D val="0"/>
            <c:spPr>
              <a:solidFill>
                <a:srgbClr val="64FDE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EBD-4410-A1DA-C437128511BF}"/>
              </c:ext>
            </c:extLst>
          </c:dPt>
          <c:dPt>
            <c:idx val="2"/>
            <c:invertIfNegative val="0"/>
            <c:bubble3D val="0"/>
            <c:spPr>
              <a:solidFill>
                <a:srgbClr val="00DEE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EBD-4410-A1DA-C437128511BF}"/>
              </c:ext>
            </c:extLst>
          </c:dPt>
          <c:dPt>
            <c:idx val="3"/>
            <c:invertIfNegative val="0"/>
            <c:bubble3D val="0"/>
            <c:spPr>
              <a:solidFill>
                <a:srgbClr val="FF7C2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EBD-4410-A1DA-C437128511BF}"/>
              </c:ext>
            </c:extLst>
          </c:dPt>
          <c:dPt>
            <c:idx val="4"/>
            <c:invertIfNegative val="0"/>
            <c:bubble3D val="0"/>
            <c:spPr>
              <a:solidFill>
                <a:srgbClr val="F02BC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EBD-4410-A1DA-C437128511BF}"/>
              </c:ext>
            </c:extLst>
          </c:dPt>
          <c:dPt>
            <c:idx val="5"/>
            <c:invertIfNegative val="0"/>
            <c:bubble3D val="0"/>
            <c:spPr>
              <a:solidFill>
                <a:srgbClr val="AF00B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EBD-4410-A1DA-C437128511BF}"/>
              </c:ext>
            </c:extLst>
          </c:dPt>
          <c:val>
            <c:numRef>
              <c:f>Processing!$N$2:$N$7</c:f>
              <c:numCache>
                <c:formatCode>General</c:formatCode>
                <c:ptCount val="6"/>
                <c:pt idx="0">
                  <c:v>22</c:v>
                </c:pt>
                <c:pt idx="1">
                  <c:v>17</c:v>
                </c:pt>
                <c:pt idx="2">
                  <c:v>13</c:v>
                </c:pt>
                <c:pt idx="3">
                  <c:v>18</c:v>
                </c:pt>
                <c:pt idx="4">
                  <c:v>14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EBD-4410-A1DA-C43712851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431479168"/>
        <c:axId val="431501472"/>
      </c:barChart>
      <c:catAx>
        <c:axId val="431479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31501472"/>
        <c:crosses val="autoZero"/>
        <c:auto val="1"/>
        <c:lblAlgn val="ctr"/>
        <c:lblOffset val="100"/>
        <c:noMultiLvlLbl val="0"/>
      </c:catAx>
      <c:valAx>
        <c:axId val="4315014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147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Data!$C$1</c:f>
              <c:strCache>
                <c:ptCount val="1"/>
                <c:pt idx="0">
                  <c:v>January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Data!$A$2:$B$19</c:f>
              <c:multiLvlStrCache>
                <c:ptCount val="18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A</c:v>
                  </c:pt>
                  <c:pt idx="7">
                    <c:v>B</c:v>
                  </c:pt>
                  <c:pt idx="8">
                    <c:v>C</c:v>
                  </c:pt>
                  <c:pt idx="9">
                    <c:v>A</c:v>
                  </c:pt>
                  <c:pt idx="10">
                    <c:v>B</c:v>
                  </c:pt>
                  <c:pt idx="11">
                    <c:v>C</c:v>
                  </c:pt>
                  <c:pt idx="12">
                    <c:v>A</c:v>
                  </c:pt>
                  <c:pt idx="13">
                    <c:v>B</c:v>
                  </c:pt>
                  <c:pt idx="14">
                    <c:v>C</c:v>
                  </c:pt>
                  <c:pt idx="15">
                    <c:v>A</c:v>
                  </c:pt>
                  <c:pt idx="16">
                    <c:v>B</c:v>
                  </c:pt>
                  <c:pt idx="17">
                    <c:v>C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2</c:v>
                  </c:pt>
                  <c:pt idx="4">
                    <c:v>2</c:v>
                  </c:pt>
                  <c:pt idx="5">
                    <c:v>2</c:v>
                  </c:pt>
                  <c:pt idx="6">
                    <c:v>3</c:v>
                  </c:pt>
                  <c:pt idx="7">
                    <c:v>3</c:v>
                  </c:pt>
                  <c:pt idx="8">
                    <c:v>3</c:v>
                  </c:pt>
                  <c:pt idx="9">
                    <c:v>4</c:v>
                  </c:pt>
                  <c:pt idx="10">
                    <c:v>4</c:v>
                  </c:pt>
                  <c:pt idx="11">
                    <c:v>4</c:v>
                  </c:pt>
                  <c:pt idx="12">
                    <c:v>5</c:v>
                  </c:pt>
                  <c:pt idx="13">
                    <c:v>5</c:v>
                  </c:pt>
                  <c:pt idx="14">
                    <c:v>5</c:v>
                  </c:pt>
                  <c:pt idx="15">
                    <c:v>6</c:v>
                  </c:pt>
                  <c:pt idx="16">
                    <c:v>6</c:v>
                  </c:pt>
                  <c:pt idx="17">
                    <c:v>6</c:v>
                  </c:pt>
                </c:lvl>
              </c:multiLvlStrCache>
            </c:multiLvlStrRef>
          </c:cat>
          <c:val>
            <c:numRef>
              <c:f>Data!$C$2:$C$19</c:f>
              <c:numCache>
                <c:formatCode>General</c:formatCode>
                <c:ptCount val="18"/>
                <c:pt idx="0">
                  <c:v>100</c:v>
                </c:pt>
                <c:pt idx="1">
                  <c:v>90</c:v>
                </c:pt>
                <c:pt idx="2">
                  <c:v>70</c:v>
                </c:pt>
                <c:pt idx="3">
                  <c:v>80</c:v>
                </c:pt>
                <c:pt idx="4">
                  <c:v>70</c:v>
                </c:pt>
                <c:pt idx="5">
                  <c:v>50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80</c:v>
                </c:pt>
                <c:pt idx="10">
                  <c:v>70</c:v>
                </c:pt>
                <c:pt idx="11">
                  <c:v>60</c:v>
                </c:pt>
                <c:pt idx="12">
                  <c:v>70</c:v>
                </c:pt>
                <c:pt idx="13">
                  <c:v>60</c:v>
                </c:pt>
                <c:pt idx="14">
                  <c:v>30</c:v>
                </c:pt>
                <c:pt idx="15">
                  <c:v>80</c:v>
                </c:pt>
                <c:pt idx="16">
                  <c:v>70</c:v>
                </c:pt>
                <c:pt idx="17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1-444F-BCA0-48F7A78B6910}"/>
            </c:ext>
          </c:extLst>
        </c:ser>
        <c:ser>
          <c:idx val="1"/>
          <c:order val="1"/>
          <c:tx>
            <c:strRef>
              <c:f>Data!$D$1</c:f>
              <c:strCache>
                <c:ptCount val="1"/>
                <c:pt idx="0">
                  <c:v>February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Data!$A$2:$B$19</c:f>
              <c:multiLvlStrCache>
                <c:ptCount val="18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A</c:v>
                  </c:pt>
                  <c:pt idx="7">
                    <c:v>B</c:v>
                  </c:pt>
                  <c:pt idx="8">
                    <c:v>C</c:v>
                  </c:pt>
                  <c:pt idx="9">
                    <c:v>A</c:v>
                  </c:pt>
                  <c:pt idx="10">
                    <c:v>B</c:v>
                  </c:pt>
                  <c:pt idx="11">
                    <c:v>C</c:v>
                  </c:pt>
                  <c:pt idx="12">
                    <c:v>A</c:v>
                  </c:pt>
                  <c:pt idx="13">
                    <c:v>B</c:v>
                  </c:pt>
                  <c:pt idx="14">
                    <c:v>C</c:v>
                  </c:pt>
                  <c:pt idx="15">
                    <c:v>A</c:v>
                  </c:pt>
                  <c:pt idx="16">
                    <c:v>B</c:v>
                  </c:pt>
                  <c:pt idx="17">
                    <c:v>C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2</c:v>
                  </c:pt>
                  <c:pt idx="4">
                    <c:v>2</c:v>
                  </c:pt>
                  <c:pt idx="5">
                    <c:v>2</c:v>
                  </c:pt>
                  <c:pt idx="6">
                    <c:v>3</c:v>
                  </c:pt>
                  <c:pt idx="7">
                    <c:v>3</c:v>
                  </c:pt>
                  <c:pt idx="8">
                    <c:v>3</c:v>
                  </c:pt>
                  <c:pt idx="9">
                    <c:v>4</c:v>
                  </c:pt>
                  <c:pt idx="10">
                    <c:v>4</c:v>
                  </c:pt>
                  <c:pt idx="11">
                    <c:v>4</c:v>
                  </c:pt>
                  <c:pt idx="12">
                    <c:v>5</c:v>
                  </c:pt>
                  <c:pt idx="13">
                    <c:v>5</c:v>
                  </c:pt>
                  <c:pt idx="14">
                    <c:v>5</c:v>
                  </c:pt>
                  <c:pt idx="15">
                    <c:v>6</c:v>
                  </c:pt>
                  <c:pt idx="16">
                    <c:v>6</c:v>
                  </c:pt>
                  <c:pt idx="17">
                    <c:v>6</c:v>
                  </c:pt>
                </c:lvl>
              </c:multiLvlStrCache>
            </c:multiLvlStrRef>
          </c:cat>
          <c:val>
            <c:numRef>
              <c:f>Data!$D$2:$D$19</c:f>
              <c:numCache>
                <c:formatCode>General</c:formatCode>
                <c:ptCount val="18"/>
                <c:pt idx="0">
                  <c:v>90</c:v>
                </c:pt>
                <c:pt idx="1">
                  <c:v>63</c:v>
                </c:pt>
                <c:pt idx="2">
                  <c:v>44</c:v>
                </c:pt>
                <c:pt idx="3">
                  <c:v>92</c:v>
                </c:pt>
                <c:pt idx="4">
                  <c:v>64</c:v>
                </c:pt>
                <c:pt idx="5">
                  <c:v>51</c:v>
                </c:pt>
                <c:pt idx="6">
                  <c:v>102</c:v>
                </c:pt>
                <c:pt idx="7">
                  <c:v>81</c:v>
                </c:pt>
                <c:pt idx="8">
                  <c:v>64</c:v>
                </c:pt>
                <c:pt idx="9">
                  <c:v>170</c:v>
                </c:pt>
                <c:pt idx="10">
                  <c:v>119</c:v>
                </c:pt>
                <c:pt idx="11">
                  <c:v>107</c:v>
                </c:pt>
                <c:pt idx="12">
                  <c:v>186</c:v>
                </c:pt>
                <c:pt idx="13">
                  <c:v>148</c:v>
                </c:pt>
                <c:pt idx="14">
                  <c:v>118</c:v>
                </c:pt>
                <c:pt idx="15">
                  <c:v>149</c:v>
                </c:pt>
                <c:pt idx="16">
                  <c:v>119</c:v>
                </c:pt>
                <c:pt idx="17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1-444F-BCA0-48F7A78B6910}"/>
            </c:ext>
          </c:extLst>
        </c:ser>
        <c:ser>
          <c:idx val="2"/>
          <c:order val="2"/>
          <c:tx>
            <c:strRef>
              <c:f>Data!$E$1</c:f>
              <c:strCache>
                <c:ptCount val="1"/>
                <c:pt idx="0">
                  <c:v>March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Data!$A$2:$B$19</c:f>
              <c:multiLvlStrCache>
                <c:ptCount val="18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A</c:v>
                  </c:pt>
                  <c:pt idx="7">
                    <c:v>B</c:v>
                  </c:pt>
                  <c:pt idx="8">
                    <c:v>C</c:v>
                  </c:pt>
                  <c:pt idx="9">
                    <c:v>A</c:v>
                  </c:pt>
                  <c:pt idx="10">
                    <c:v>B</c:v>
                  </c:pt>
                  <c:pt idx="11">
                    <c:v>C</c:v>
                  </c:pt>
                  <c:pt idx="12">
                    <c:v>A</c:v>
                  </c:pt>
                  <c:pt idx="13">
                    <c:v>B</c:v>
                  </c:pt>
                  <c:pt idx="14">
                    <c:v>C</c:v>
                  </c:pt>
                  <c:pt idx="15">
                    <c:v>A</c:v>
                  </c:pt>
                  <c:pt idx="16">
                    <c:v>B</c:v>
                  </c:pt>
                  <c:pt idx="17">
                    <c:v>C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2</c:v>
                  </c:pt>
                  <c:pt idx="4">
                    <c:v>2</c:v>
                  </c:pt>
                  <c:pt idx="5">
                    <c:v>2</c:v>
                  </c:pt>
                  <c:pt idx="6">
                    <c:v>3</c:v>
                  </c:pt>
                  <c:pt idx="7">
                    <c:v>3</c:v>
                  </c:pt>
                  <c:pt idx="8">
                    <c:v>3</c:v>
                  </c:pt>
                  <c:pt idx="9">
                    <c:v>4</c:v>
                  </c:pt>
                  <c:pt idx="10">
                    <c:v>4</c:v>
                  </c:pt>
                  <c:pt idx="11">
                    <c:v>4</c:v>
                  </c:pt>
                  <c:pt idx="12">
                    <c:v>5</c:v>
                  </c:pt>
                  <c:pt idx="13">
                    <c:v>5</c:v>
                  </c:pt>
                  <c:pt idx="14">
                    <c:v>5</c:v>
                  </c:pt>
                  <c:pt idx="15">
                    <c:v>6</c:v>
                  </c:pt>
                  <c:pt idx="16">
                    <c:v>6</c:v>
                  </c:pt>
                  <c:pt idx="17">
                    <c:v>6</c:v>
                  </c:pt>
                </c:lvl>
              </c:multiLvlStrCache>
            </c:multiLvlStrRef>
          </c:cat>
          <c:val>
            <c:numRef>
              <c:f>Data!$E$2:$E$19</c:f>
              <c:numCache>
                <c:formatCode>General</c:formatCode>
                <c:ptCount val="18"/>
                <c:pt idx="0">
                  <c:v>113</c:v>
                </c:pt>
                <c:pt idx="1">
                  <c:v>90</c:v>
                </c:pt>
                <c:pt idx="2">
                  <c:v>81</c:v>
                </c:pt>
                <c:pt idx="3">
                  <c:v>128</c:v>
                </c:pt>
                <c:pt idx="4">
                  <c:v>102</c:v>
                </c:pt>
                <c:pt idx="5">
                  <c:v>71</c:v>
                </c:pt>
                <c:pt idx="6">
                  <c:v>173</c:v>
                </c:pt>
                <c:pt idx="7">
                  <c:v>155</c:v>
                </c:pt>
                <c:pt idx="8">
                  <c:v>124</c:v>
                </c:pt>
                <c:pt idx="9">
                  <c:v>174</c:v>
                </c:pt>
                <c:pt idx="10">
                  <c:v>139</c:v>
                </c:pt>
                <c:pt idx="11">
                  <c:v>97</c:v>
                </c:pt>
                <c:pt idx="12">
                  <c:v>184</c:v>
                </c:pt>
                <c:pt idx="13">
                  <c:v>147</c:v>
                </c:pt>
                <c:pt idx="14">
                  <c:v>132</c:v>
                </c:pt>
                <c:pt idx="15">
                  <c:v>163</c:v>
                </c:pt>
                <c:pt idx="16">
                  <c:v>146</c:v>
                </c:pt>
                <c:pt idx="17">
                  <c:v>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E1-444F-BCA0-48F7A78B6910}"/>
            </c:ext>
          </c:extLst>
        </c:ser>
        <c:ser>
          <c:idx val="3"/>
          <c:order val="3"/>
          <c:tx>
            <c:strRef>
              <c:f>Data!$F$1</c:f>
              <c:strCache>
                <c:ptCount val="1"/>
                <c:pt idx="0">
                  <c:v>April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Data!$A$2:$B$19</c:f>
              <c:multiLvlStrCache>
                <c:ptCount val="18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A</c:v>
                  </c:pt>
                  <c:pt idx="7">
                    <c:v>B</c:v>
                  </c:pt>
                  <c:pt idx="8">
                    <c:v>C</c:v>
                  </c:pt>
                  <c:pt idx="9">
                    <c:v>A</c:v>
                  </c:pt>
                  <c:pt idx="10">
                    <c:v>B</c:v>
                  </c:pt>
                  <c:pt idx="11">
                    <c:v>C</c:v>
                  </c:pt>
                  <c:pt idx="12">
                    <c:v>A</c:v>
                  </c:pt>
                  <c:pt idx="13">
                    <c:v>B</c:v>
                  </c:pt>
                  <c:pt idx="14">
                    <c:v>C</c:v>
                  </c:pt>
                  <c:pt idx="15">
                    <c:v>A</c:v>
                  </c:pt>
                  <c:pt idx="16">
                    <c:v>B</c:v>
                  </c:pt>
                  <c:pt idx="17">
                    <c:v>C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2</c:v>
                  </c:pt>
                  <c:pt idx="4">
                    <c:v>2</c:v>
                  </c:pt>
                  <c:pt idx="5">
                    <c:v>2</c:v>
                  </c:pt>
                  <c:pt idx="6">
                    <c:v>3</c:v>
                  </c:pt>
                  <c:pt idx="7">
                    <c:v>3</c:v>
                  </c:pt>
                  <c:pt idx="8">
                    <c:v>3</c:v>
                  </c:pt>
                  <c:pt idx="9">
                    <c:v>4</c:v>
                  </c:pt>
                  <c:pt idx="10">
                    <c:v>4</c:v>
                  </c:pt>
                  <c:pt idx="11">
                    <c:v>4</c:v>
                  </c:pt>
                  <c:pt idx="12">
                    <c:v>5</c:v>
                  </c:pt>
                  <c:pt idx="13">
                    <c:v>5</c:v>
                  </c:pt>
                  <c:pt idx="14">
                    <c:v>5</c:v>
                  </c:pt>
                  <c:pt idx="15">
                    <c:v>6</c:v>
                  </c:pt>
                  <c:pt idx="16">
                    <c:v>6</c:v>
                  </c:pt>
                  <c:pt idx="17">
                    <c:v>6</c:v>
                  </c:pt>
                </c:lvl>
              </c:multiLvlStrCache>
            </c:multiLvlStrRef>
          </c:cat>
          <c:val>
            <c:numRef>
              <c:f>Data!$F$2:$F$19</c:f>
              <c:numCache>
                <c:formatCode>General</c:formatCode>
                <c:ptCount val="18"/>
                <c:pt idx="0">
                  <c:v>156</c:v>
                </c:pt>
                <c:pt idx="1">
                  <c:v>140</c:v>
                </c:pt>
                <c:pt idx="2">
                  <c:v>126</c:v>
                </c:pt>
                <c:pt idx="3">
                  <c:v>188</c:v>
                </c:pt>
                <c:pt idx="4">
                  <c:v>131</c:v>
                </c:pt>
                <c:pt idx="5">
                  <c:v>91</c:v>
                </c:pt>
                <c:pt idx="6">
                  <c:v>138</c:v>
                </c:pt>
                <c:pt idx="7">
                  <c:v>110</c:v>
                </c:pt>
                <c:pt idx="8">
                  <c:v>99</c:v>
                </c:pt>
                <c:pt idx="9">
                  <c:v>171</c:v>
                </c:pt>
                <c:pt idx="10">
                  <c:v>136</c:v>
                </c:pt>
                <c:pt idx="11">
                  <c:v>95</c:v>
                </c:pt>
                <c:pt idx="12">
                  <c:v>161</c:v>
                </c:pt>
                <c:pt idx="13">
                  <c:v>128</c:v>
                </c:pt>
                <c:pt idx="14">
                  <c:v>115</c:v>
                </c:pt>
                <c:pt idx="15">
                  <c:v>122</c:v>
                </c:pt>
                <c:pt idx="16">
                  <c:v>85</c:v>
                </c:pt>
                <c:pt idx="17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EE1-444F-BCA0-48F7A78B6910}"/>
            </c:ext>
          </c:extLst>
        </c:ser>
        <c:ser>
          <c:idx val="4"/>
          <c:order val="4"/>
          <c:tx>
            <c:strRef>
              <c:f>Data!$G$1</c:f>
              <c:strCache>
                <c:ptCount val="1"/>
                <c:pt idx="0">
                  <c:v>May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Data!$A$2:$B$19</c:f>
              <c:multiLvlStrCache>
                <c:ptCount val="18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A</c:v>
                  </c:pt>
                  <c:pt idx="7">
                    <c:v>B</c:v>
                  </c:pt>
                  <c:pt idx="8">
                    <c:v>C</c:v>
                  </c:pt>
                  <c:pt idx="9">
                    <c:v>A</c:v>
                  </c:pt>
                  <c:pt idx="10">
                    <c:v>B</c:v>
                  </c:pt>
                  <c:pt idx="11">
                    <c:v>C</c:v>
                  </c:pt>
                  <c:pt idx="12">
                    <c:v>A</c:v>
                  </c:pt>
                  <c:pt idx="13">
                    <c:v>B</c:v>
                  </c:pt>
                  <c:pt idx="14">
                    <c:v>C</c:v>
                  </c:pt>
                  <c:pt idx="15">
                    <c:v>A</c:v>
                  </c:pt>
                  <c:pt idx="16">
                    <c:v>B</c:v>
                  </c:pt>
                  <c:pt idx="17">
                    <c:v>C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2</c:v>
                  </c:pt>
                  <c:pt idx="4">
                    <c:v>2</c:v>
                  </c:pt>
                  <c:pt idx="5">
                    <c:v>2</c:v>
                  </c:pt>
                  <c:pt idx="6">
                    <c:v>3</c:v>
                  </c:pt>
                  <c:pt idx="7">
                    <c:v>3</c:v>
                  </c:pt>
                  <c:pt idx="8">
                    <c:v>3</c:v>
                  </c:pt>
                  <c:pt idx="9">
                    <c:v>4</c:v>
                  </c:pt>
                  <c:pt idx="10">
                    <c:v>4</c:v>
                  </c:pt>
                  <c:pt idx="11">
                    <c:v>4</c:v>
                  </c:pt>
                  <c:pt idx="12">
                    <c:v>5</c:v>
                  </c:pt>
                  <c:pt idx="13">
                    <c:v>5</c:v>
                  </c:pt>
                  <c:pt idx="14">
                    <c:v>5</c:v>
                  </c:pt>
                  <c:pt idx="15">
                    <c:v>6</c:v>
                  </c:pt>
                  <c:pt idx="16">
                    <c:v>6</c:v>
                  </c:pt>
                  <c:pt idx="17">
                    <c:v>6</c:v>
                  </c:pt>
                </c:lvl>
              </c:multiLvlStrCache>
            </c:multiLvlStrRef>
          </c:cat>
          <c:val>
            <c:numRef>
              <c:f>Data!$G$2:$G$19</c:f>
              <c:numCache>
                <c:formatCode>General</c:formatCode>
                <c:ptCount val="18"/>
                <c:pt idx="0">
                  <c:v>191</c:v>
                </c:pt>
                <c:pt idx="1">
                  <c:v>133</c:v>
                </c:pt>
                <c:pt idx="2">
                  <c:v>93</c:v>
                </c:pt>
                <c:pt idx="3">
                  <c:v>146</c:v>
                </c:pt>
                <c:pt idx="4">
                  <c:v>102</c:v>
                </c:pt>
                <c:pt idx="5">
                  <c:v>81</c:v>
                </c:pt>
                <c:pt idx="6">
                  <c:v>111</c:v>
                </c:pt>
                <c:pt idx="7">
                  <c:v>88</c:v>
                </c:pt>
                <c:pt idx="8">
                  <c:v>61</c:v>
                </c:pt>
                <c:pt idx="9">
                  <c:v>82</c:v>
                </c:pt>
                <c:pt idx="10">
                  <c:v>65</c:v>
                </c:pt>
                <c:pt idx="11">
                  <c:v>45</c:v>
                </c:pt>
                <c:pt idx="12">
                  <c:v>151</c:v>
                </c:pt>
                <c:pt idx="13">
                  <c:v>105</c:v>
                </c:pt>
                <c:pt idx="14">
                  <c:v>73</c:v>
                </c:pt>
                <c:pt idx="15">
                  <c:v>198</c:v>
                </c:pt>
                <c:pt idx="16">
                  <c:v>138</c:v>
                </c:pt>
                <c:pt idx="17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EE1-444F-BCA0-48F7A78B6910}"/>
            </c:ext>
          </c:extLst>
        </c:ser>
        <c:ser>
          <c:idx val="5"/>
          <c:order val="5"/>
          <c:tx>
            <c:strRef>
              <c:f>Data!$H$1</c:f>
              <c:strCache>
                <c:ptCount val="1"/>
                <c:pt idx="0">
                  <c:v>June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Data!$A$2:$B$19</c:f>
              <c:multiLvlStrCache>
                <c:ptCount val="18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A</c:v>
                  </c:pt>
                  <c:pt idx="7">
                    <c:v>B</c:v>
                  </c:pt>
                  <c:pt idx="8">
                    <c:v>C</c:v>
                  </c:pt>
                  <c:pt idx="9">
                    <c:v>A</c:v>
                  </c:pt>
                  <c:pt idx="10">
                    <c:v>B</c:v>
                  </c:pt>
                  <c:pt idx="11">
                    <c:v>C</c:v>
                  </c:pt>
                  <c:pt idx="12">
                    <c:v>A</c:v>
                  </c:pt>
                  <c:pt idx="13">
                    <c:v>B</c:v>
                  </c:pt>
                  <c:pt idx="14">
                    <c:v>C</c:v>
                  </c:pt>
                  <c:pt idx="15">
                    <c:v>A</c:v>
                  </c:pt>
                  <c:pt idx="16">
                    <c:v>B</c:v>
                  </c:pt>
                  <c:pt idx="17">
                    <c:v>C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2</c:v>
                  </c:pt>
                  <c:pt idx="4">
                    <c:v>2</c:v>
                  </c:pt>
                  <c:pt idx="5">
                    <c:v>2</c:v>
                  </c:pt>
                  <c:pt idx="6">
                    <c:v>3</c:v>
                  </c:pt>
                  <c:pt idx="7">
                    <c:v>3</c:v>
                  </c:pt>
                  <c:pt idx="8">
                    <c:v>3</c:v>
                  </c:pt>
                  <c:pt idx="9">
                    <c:v>4</c:v>
                  </c:pt>
                  <c:pt idx="10">
                    <c:v>4</c:v>
                  </c:pt>
                  <c:pt idx="11">
                    <c:v>4</c:v>
                  </c:pt>
                  <c:pt idx="12">
                    <c:v>5</c:v>
                  </c:pt>
                  <c:pt idx="13">
                    <c:v>5</c:v>
                  </c:pt>
                  <c:pt idx="14">
                    <c:v>5</c:v>
                  </c:pt>
                  <c:pt idx="15">
                    <c:v>6</c:v>
                  </c:pt>
                  <c:pt idx="16">
                    <c:v>6</c:v>
                  </c:pt>
                  <c:pt idx="17">
                    <c:v>6</c:v>
                  </c:pt>
                </c:lvl>
              </c:multiLvlStrCache>
            </c:multiLvlStrRef>
          </c:cat>
          <c:val>
            <c:numRef>
              <c:f>Data!$H$2:$H$19</c:f>
              <c:numCache>
                <c:formatCode>General</c:formatCode>
                <c:ptCount val="18"/>
                <c:pt idx="0">
                  <c:v>195</c:v>
                </c:pt>
                <c:pt idx="1">
                  <c:v>136</c:v>
                </c:pt>
                <c:pt idx="2">
                  <c:v>122</c:v>
                </c:pt>
                <c:pt idx="3">
                  <c:v>138</c:v>
                </c:pt>
                <c:pt idx="4">
                  <c:v>124</c:v>
                </c:pt>
                <c:pt idx="5">
                  <c:v>86</c:v>
                </c:pt>
                <c:pt idx="6">
                  <c:v>158</c:v>
                </c:pt>
                <c:pt idx="7">
                  <c:v>142</c:v>
                </c:pt>
                <c:pt idx="8">
                  <c:v>113</c:v>
                </c:pt>
                <c:pt idx="9">
                  <c:v>174</c:v>
                </c:pt>
                <c:pt idx="10">
                  <c:v>156</c:v>
                </c:pt>
                <c:pt idx="11">
                  <c:v>124</c:v>
                </c:pt>
                <c:pt idx="12">
                  <c:v>180</c:v>
                </c:pt>
                <c:pt idx="13">
                  <c:v>126</c:v>
                </c:pt>
                <c:pt idx="14">
                  <c:v>100</c:v>
                </c:pt>
                <c:pt idx="15">
                  <c:v>96</c:v>
                </c:pt>
                <c:pt idx="16">
                  <c:v>86</c:v>
                </c:pt>
                <c:pt idx="17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EE1-444F-BCA0-48F7A78B6910}"/>
            </c:ext>
          </c:extLst>
        </c:ser>
        <c:ser>
          <c:idx val="6"/>
          <c:order val="6"/>
          <c:tx>
            <c:strRef>
              <c:f>Data!$I$1</c:f>
              <c:strCache>
                <c:ptCount val="1"/>
                <c:pt idx="0">
                  <c:v>July</c:v>
                </c:pt>
              </c:strCache>
            </c:strRef>
          </c:tx>
          <c:spPr>
            <a:pattFill prst="narHorz">
              <a:fgClr>
                <a:schemeClr val="accent1">
                  <a:lumMod val="60000"/>
                </a:schemeClr>
              </a:fgClr>
              <a:bgClr>
                <a:schemeClr val="accent1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>
                  <a:lumMod val="60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Data!$A$2:$B$19</c:f>
              <c:multiLvlStrCache>
                <c:ptCount val="18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A</c:v>
                  </c:pt>
                  <c:pt idx="7">
                    <c:v>B</c:v>
                  </c:pt>
                  <c:pt idx="8">
                    <c:v>C</c:v>
                  </c:pt>
                  <c:pt idx="9">
                    <c:v>A</c:v>
                  </c:pt>
                  <c:pt idx="10">
                    <c:v>B</c:v>
                  </c:pt>
                  <c:pt idx="11">
                    <c:v>C</c:v>
                  </c:pt>
                  <c:pt idx="12">
                    <c:v>A</c:v>
                  </c:pt>
                  <c:pt idx="13">
                    <c:v>B</c:v>
                  </c:pt>
                  <c:pt idx="14">
                    <c:v>C</c:v>
                  </c:pt>
                  <c:pt idx="15">
                    <c:v>A</c:v>
                  </c:pt>
                  <c:pt idx="16">
                    <c:v>B</c:v>
                  </c:pt>
                  <c:pt idx="17">
                    <c:v>C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2</c:v>
                  </c:pt>
                  <c:pt idx="4">
                    <c:v>2</c:v>
                  </c:pt>
                  <c:pt idx="5">
                    <c:v>2</c:v>
                  </c:pt>
                  <c:pt idx="6">
                    <c:v>3</c:v>
                  </c:pt>
                  <c:pt idx="7">
                    <c:v>3</c:v>
                  </c:pt>
                  <c:pt idx="8">
                    <c:v>3</c:v>
                  </c:pt>
                  <c:pt idx="9">
                    <c:v>4</c:v>
                  </c:pt>
                  <c:pt idx="10">
                    <c:v>4</c:v>
                  </c:pt>
                  <c:pt idx="11">
                    <c:v>4</c:v>
                  </c:pt>
                  <c:pt idx="12">
                    <c:v>5</c:v>
                  </c:pt>
                  <c:pt idx="13">
                    <c:v>5</c:v>
                  </c:pt>
                  <c:pt idx="14">
                    <c:v>5</c:v>
                  </c:pt>
                  <c:pt idx="15">
                    <c:v>6</c:v>
                  </c:pt>
                  <c:pt idx="16">
                    <c:v>6</c:v>
                  </c:pt>
                  <c:pt idx="17">
                    <c:v>6</c:v>
                  </c:pt>
                </c:lvl>
              </c:multiLvlStrCache>
            </c:multiLvlStrRef>
          </c:cat>
          <c:val>
            <c:numRef>
              <c:f>Data!$I$2:$I$19</c:f>
              <c:numCache>
                <c:formatCode>General</c:formatCode>
                <c:ptCount val="18"/>
                <c:pt idx="0">
                  <c:v>75</c:v>
                </c:pt>
                <c:pt idx="1">
                  <c:v>60</c:v>
                </c:pt>
                <c:pt idx="2">
                  <c:v>48</c:v>
                </c:pt>
                <c:pt idx="3">
                  <c:v>131</c:v>
                </c:pt>
                <c:pt idx="4">
                  <c:v>117</c:v>
                </c:pt>
                <c:pt idx="5">
                  <c:v>93</c:v>
                </c:pt>
                <c:pt idx="6">
                  <c:v>106</c:v>
                </c:pt>
                <c:pt idx="7">
                  <c:v>95</c:v>
                </c:pt>
                <c:pt idx="8">
                  <c:v>85</c:v>
                </c:pt>
                <c:pt idx="9">
                  <c:v>133</c:v>
                </c:pt>
                <c:pt idx="10">
                  <c:v>119</c:v>
                </c:pt>
                <c:pt idx="11">
                  <c:v>107</c:v>
                </c:pt>
                <c:pt idx="12">
                  <c:v>116</c:v>
                </c:pt>
                <c:pt idx="13">
                  <c:v>81</c:v>
                </c:pt>
                <c:pt idx="14">
                  <c:v>56</c:v>
                </c:pt>
                <c:pt idx="15">
                  <c:v>150</c:v>
                </c:pt>
                <c:pt idx="16">
                  <c:v>120</c:v>
                </c:pt>
                <c:pt idx="17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EE1-444F-BCA0-48F7A78B6910}"/>
            </c:ext>
          </c:extLst>
        </c:ser>
        <c:ser>
          <c:idx val="7"/>
          <c:order val="7"/>
          <c:tx>
            <c:strRef>
              <c:f>Data!$J$1</c:f>
              <c:strCache>
                <c:ptCount val="1"/>
                <c:pt idx="0">
                  <c:v>August</c:v>
                </c:pt>
              </c:strCache>
            </c:strRef>
          </c:tx>
          <c:spPr>
            <a:pattFill prst="narHorz">
              <a:fgClr>
                <a:schemeClr val="accent2">
                  <a:lumMod val="60000"/>
                </a:schemeClr>
              </a:fgClr>
              <a:bgClr>
                <a:schemeClr val="accent2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>
                  <a:lumMod val="60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Data!$A$2:$B$19</c:f>
              <c:multiLvlStrCache>
                <c:ptCount val="18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A</c:v>
                  </c:pt>
                  <c:pt idx="7">
                    <c:v>B</c:v>
                  </c:pt>
                  <c:pt idx="8">
                    <c:v>C</c:v>
                  </c:pt>
                  <c:pt idx="9">
                    <c:v>A</c:v>
                  </c:pt>
                  <c:pt idx="10">
                    <c:v>B</c:v>
                  </c:pt>
                  <c:pt idx="11">
                    <c:v>C</c:v>
                  </c:pt>
                  <c:pt idx="12">
                    <c:v>A</c:v>
                  </c:pt>
                  <c:pt idx="13">
                    <c:v>B</c:v>
                  </c:pt>
                  <c:pt idx="14">
                    <c:v>C</c:v>
                  </c:pt>
                  <c:pt idx="15">
                    <c:v>A</c:v>
                  </c:pt>
                  <c:pt idx="16">
                    <c:v>B</c:v>
                  </c:pt>
                  <c:pt idx="17">
                    <c:v>C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2</c:v>
                  </c:pt>
                  <c:pt idx="4">
                    <c:v>2</c:v>
                  </c:pt>
                  <c:pt idx="5">
                    <c:v>2</c:v>
                  </c:pt>
                  <c:pt idx="6">
                    <c:v>3</c:v>
                  </c:pt>
                  <c:pt idx="7">
                    <c:v>3</c:v>
                  </c:pt>
                  <c:pt idx="8">
                    <c:v>3</c:v>
                  </c:pt>
                  <c:pt idx="9">
                    <c:v>4</c:v>
                  </c:pt>
                  <c:pt idx="10">
                    <c:v>4</c:v>
                  </c:pt>
                  <c:pt idx="11">
                    <c:v>4</c:v>
                  </c:pt>
                  <c:pt idx="12">
                    <c:v>5</c:v>
                  </c:pt>
                  <c:pt idx="13">
                    <c:v>5</c:v>
                  </c:pt>
                  <c:pt idx="14">
                    <c:v>5</c:v>
                  </c:pt>
                  <c:pt idx="15">
                    <c:v>6</c:v>
                  </c:pt>
                  <c:pt idx="16">
                    <c:v>6</c:v>
                  </c:pt>
                  <c:pt idx="17">
                    <c:v>6</c:v>
                  </c:pt>
                </c:lvl>
              </c:multiLvlStrCache>
            </c:multiLvlStrRef>
          </c:cat>
          <c:val>
            <c:numRef>
              <c:f>Data!$J$2:$J$19</c:f>
              <c:numCache>
                <c:formatCode>General</c:formatCode>
                <c:ptCount val="18"/>
                <c:pt idx="0">
                  <c:v>181</c:v>
                </c:pt>
                <c:pt idx="1">
                  <c:v>162</c:v>
                </c:pt>
                <c:pt idx="2">
                  <c:v>129</c:v>
                </c:pt>
                <c:pt idx="3">
                  <c:v>132</c:v>
                </c:pt>
                <c:pt idx="4">
                  <c:v>92</c:v>
                </c:pt>
                <c:pt idx="5">
                  <c:v>64</c:v>
                </c:pt>
                <c:pt idx="6">
                  <c:v>143</c:v>
                </c:pt>
                <c:pt idx="7">
                  <c:v>128</c:v>
                </c:pt>
                <c:pt idx="8">
                  <c:v>89</c:v>
                </c:pt>
                <c:pt idx="9">
                  <c:v>82</c:v>
                </c:pt>
                <c:pt idx="10">
                  <c:v>65</c:v>
                </c:pt>
                <c:pt idx="11">
                  <c:v>45</c:v>
                </c:pt>
                <c:pt idx="12">
                  <c:v>166</c:v>
                </c:pt>
                <c:pt idx="13">
                  <c:v>149</c:v>
                </c:pt>
                <c:pt idx="14">
                  <c:v>119</c:v>
                </c:pt>
                <c:pt idx="15">
                  <c:v>162</c:v>
                </c:pt>
                <c:pt idx="16">
                  <c:v>129</c:v>
                </c:pt>
                <c:pt idx="17">
                  <c:v>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EE1-444F-BCA0-48F7A78B6910}"/>
            </c:ext>
          </c:extLst>
        </c:ser>
        <c:ser>
          <c:idx val="8"/>
          <c:order val="8"/>
          <c:tx>
            <c:strRef>
              <c:f>Data!$K$1</c:f>
              <c:strCache>
                <c:ptCount val="1"/>
                <c:pt idx="0">
                  <c:v>September</c:v>
                </c:pt>
              </c:strCache>
            </c:strRef>
          </c:tx>
          <c:spPr>
            <a:pattFill prst="narHorz">
              <a:fgClr>
                <a:schemeClr val="accent3">
                  <a:lumMod val="60000"/>
                </a:schemeClr>
              </a:fgClr>
              <a:bgClr>
                <a:schemeClr val="accent3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>
                  <a:lumMod val="60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Data!$A$2:$B$19</c:f>
              <c:multiLvlStrCache>
                <c:ptCount val="18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A</c:v>
                  </c:pt>
                  <c:pt idx="7">
                    <c:v>B</c:v>
                  </c:pt>
                  <c:pt idx="8">
                    <c:v>C</c:v>
                  </c:pt>
                  <c:pt idx="9">
                    <c:v>A</c:v>
                  </c:pt>
                  <c:pt idx="10">
                    <c:v>B</c:v>
                  </c:pt>
                  <c:pt idx="11">
                    <c:v>C</c:v>
                  </c:pt>
                  <c:pt idx="12">
                    <c:v>A</c:v>
                  </c:pt>
                  <c:pt idx="13">
                    <c:v>B</c:v>
                  </c:pt>
                  <c:pt idx="14">
                    <c:v>C</c:v>
                  </c:pt>
                  <c:pt idx="15">
                    <c:v>A</c:v>
                  </c:pt>
                  <c:pt idx="16">
                    <c:v>B</c:v>
                  </c:pt>
                  <c:pt idx="17">
                    <c:v>C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2</c:v>
                  </c:pt>
                  <c:pt idx="4">
                    <c:v>2</c:v>
                  </c:pt>
                  <c:pt idx="5">
                    <c:v>2</c:v>
                  </c:pt>
                  <c:pt idx="6">
                    <c:v>3</c:v>
                  </c:pt>
                  <c:pt idx="7">
                    <c:v>3</c:v>
                  </c:pt>
                  <c:pt idx="8">
                    <c:v>3</c:v>
                  </c:pt>
                  <c:pt idx="9">
                    <c:v>4</c:v>
                  </c:pt>
                  <c:pt idx="10">
                    <c:v>4</c:v>
                  </c:pt>
                  <c:pt idx="11">
                    <c:v>4</c:v>
                  </c:pt>
                  <c:pt idx="12">
                    <c:v>5</c:v>
                  </c:pt>
                  <c:pt idx="13">
                    <c:v>5</c:v>
                  </c:pt>
                  <c:pt idx="14">
                    <c:v>5</c:v>
                  </c:pt>
                  <c:pt idx="15">
                    <c:v>6</c:v>
                  </c:pt>
                  <c:pt idx="16">
                    <c:v>6</c:v>
                  </c:pt>
                  <c:pt idx="17">
                    <c:v>6</c:v>
                  </c:pt>
                </c:lvl>
              </c:multiLvlStrCache>
            </c:multiLvlStrRef>
          </c:cat>
          <c:val>
            <c:numRef>
              <c:f>Data!$K$2:$K$19</c:f>
              <c:numCache>
                <c:formatCode>General</c:formatCode>
                <c:ptCount val="18"/>
                <c:pt idx="0">
                  <c:v>115</c:v>
                </c:pt>
                <c:pt idx="1">
                  <c:v>92</c:v>
                </c:pt>
                <c:pt idx="2">
                  <c:v>64</c:v>
                </c:pt>
                <c:pt idx="3">
                  <c:v>83</c:v>
                </c:pt>
                <c:pt idx="4">
                  <c:v>66</c:v>
                </c:pt>
                <c:pt idx="5">
                  <c:v>52</c:v>
                </c:pt>
                <c:pt idx="6">
                  <c:v>179</c:v>
                </c:pt>
                <c:pt idx="7">
                  <c:v>125</c:v>
                </c:pt>
                <c:pt idx="8">
                  <c:v>100</c:v>
                </c:pt>
                <c:pt idx="9">
                  <c:v>138</c:v>
                </c:pt>
                <c:pt idx="10">
                  <c:v>110</c:v>
                </c:pt>
                <c:pt idx="11">
                  <c:v>77</c:v>
                </c:pt>
                <c:pt idx="12">
                  <c:v>144</c:v>
                </c:pt>
                <c:pt idx="13">
                  <c:v>115</c:v>
                </c:pt>
                <c:pt idx="14">
                  <c:v>103</c:v>
                </c:pt>
                <c:pt idx="15">
                  <c:v>190</c:v>
                </c:pt>
                <c:pt idx="16">
                  <c:v>133</c:v>
                </c:pt>
                <c:pt idx="17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EE1-444F-BCA0-48F7A78B6910}"/>
            </c:ext>
          </c:extLst>
        </c:ser>
        <c:ser>
          <c:idx val="9"/>
          <c:order val="9"/>
          <c:tx>
            <c:strRef>
              <c:f>Data!$L$1</c:f>
              <c:strCache>
                <c:ptCount val="1"/>
                <c:pt idx="0">
                  <c:v>October</c:v>
                </c:pt>
              </c:strCache>
            </c:strRef>
          </c:tx>
          <c:spPr>
            <a:pattFill prst="narHorz">
              <a:fgClr>
                <a:schemeClr val="accent4">
                  <a:lumMod val="60000"/>
                </a:schemeClr>
              </a:fgClr>
              <a:bgClr>
                <a:schemeClr val="accent4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>
                  <a:lumMod val="60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Data!$A$2:$B$19</c:f>
              <c:multiLvlStrCache>
                <c:ptCount val="18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A</c:v>
                  </c:pt>
                  <c:pt idx="7">
                    <c:v>B</c:v>
                  </c:pt>
                  <c:pt idx="8">
                    <c:v>C</c:v>
                  </c:pt>
                  <c:pt idx="9">
                    <c:v>A</c:v>
                  </c:pt>
                  <c:pt idx="10">
                    <c:v>B</c:v>
                  </c:pt>
                  <c:pt idx="11">
                    <c:v>C</c:v>
                  </c:pt>
                  <c:pt idx="12">
                    <c:v>A</c:v>
                  </c:pt>
                  <c:pt idx="13">
                    <c:v>B</c:v>
                  </c:pt>
                  <c:pt idx="14">
                    <c:v>C</c:v>
                  </c:pt>
                  <c:pt idx="15">
                    <c:v>A</c:v>
                  </c:pt>
                  <c:pt idx="16">
                    <c:v>B</c:v>
                  </c:pt>
                  <c:pt idx="17">
                    <c:v>C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2</c:v>
                  </c:pt>
                  <c:pt idx="4">
                    <c:v>2</c:v>
                  </c:pt>
                  <c:pt idx="5">
                    <c:v>2</c:v>
                  </c:pt>
                  <c:pt idx="6">
                    <c:v>3</c:v>
                  </c:pt>
                  <c:pt idx="7">
                    <c:v>3</c:v>
                  </c:pt>
                  <c:pt idx="8">
                    <c:v>3</c:v>
                  </c:pt>
                  <c:pt idx="9">
                    <c:v>4</c:v>
                  </c:pt>
                  <c:pt idx="10">
                    <c:v>4</c:v>
                  </c:pt>
                  <c:pt idx="11">
                    <c:v>4</c:v>
                  </c:pt>
                  <c:pt idx="12">
                    <c:v>5</c:v>
                  </c:pt>
                  <c:pt idx="13">
                    <c:v>5</c:v>
                  </c:pt>
                  <c:pt idx="14">
                    <c:v>5</c:v>
                  </c:pt>
                  <c:pt idx="15">
                    <c:v>6</c:v>
                  </c:pt>
                  <c:pt idx="16">
                    <c:v>6</c:v>
                  </c:pt>
                  <c:pt idx="17">
                    <c:v>6</c:v>
                  </c:pt>
                </c:lvl>
              </c:multiLvlStrCache>
            </c:multiLvlStrRef>
          </c:cat>
          <c:val>
            <c:numRef>
              <c:f>Data!$L$2:$L$19</c:f>
              <c:numCache>
                <c:formatCode>General</c:formatCode>
                <c:ptCount val="18"/>
                <c:pt idx="0">
                  <c:v>182</c:v>
                </c:pt>
                <c:pt idx="1">
                  <c:v>127</c:v>
                </c:pt>
                <c:pt idx="2">
                  <c:v>88</c:v>
                </c:pt>
                <c:pt idx="3">
                  <c:v>109</c:v>
                </c:pt>
                <c:pt idx="4">
                  <c:v>87</c:v>
                </c:pt>
                <c:pt idx="5">
                  <c:v>69</c:v>
                </c:pt>
                <c:pt idx="6">
                  <c:v>91</c:v>
                </c:pt>
                <c:pt idx="7">
                  <c:v>63</c:v>
                </c:pt>
                <c:pt idx="8">
                  <c:v>56</c:v>
                </c:pt>
                <c:pt idx="9">
                  <c:v>109</c:v>
                </c:pt>
                <c:pt idx="10">
                  <c:v>87</c:v>
                </c:pt>
                <c:pt idx="11">
                  <c:v>60</c:v>
                </c:pt>
                <c:pt idx="12">
                  <c:v>89</c:v>
                </c:pt>
                <c:pt idx="13">
                  <c:v>71</c:v>
                </c:pt>
                <c:pt idx="14">
                  <c:v>56</c:v>
                </c:pt>
                <c:pt idx="15">
                  <c:v>102</c:v>
                </c:pt>
                <c:pt idx="16">
                  <c:v>91</c:v>
                </c:pt>
                <c:pt idx="17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EE1-444F-BCA0-48F7A78B6910}"/>
            </c:ext>
          </c:extLst>
        </c:ser>
        <c:ser>
          <c:idx val="10"/>
          <c:order val="10"/>
          <c:tx>
            <c:strRef>
              <c:f>Data!$M$1</c:f>
              <c:strCache>
                <c:ptCount val="1"/>
                <c:pt idx="0">
                  <c:v>November</c:v>
                </c:pt>
              </c:strCache>
            </c:strRef>
          </c:tx>
          <c:spPr>
            <a:pattFill prst="narHorz">
              <a:fgClr>
                <a:schemeClr val="accent5">
                  <a:lumMod val="60000"/>
                </a:schemeClr>
              </a:fgClr>
              <a:bgClr>
                <a:schemeClr val="accent5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>
                  <a:lumMod val="60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Data!$A$2:$B$19</c:f>
              <c:multiLvlStrCache>
                <c:ptCount val="18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A</c:v>
                  </c:pt>
                  <c:pt idx="7">
                    <c:v>B</c:v>
                  </c:pt>
                  <c:pt idx="8">
                    <c:v>C</c:v>
                  </c:pt>
                  <c:pt idx="9">
                    <c:v>A</c:v>
                  </c:pt>
                  <c:pt idx="10">
                    <c:v>B</c:v>
                  </c:pt>
                  <c:pt idx="11">
                    <c:v>C</c:v>
                  </c:pt>
                  <c:pt idx="12">
                    <c:v>A</c:v>
                  </c:pt>
                  <c:pt idx="13">
                    <c:v>B</c:v>
                  </c:pt>
                  <c:pt idx="14">
                    <c:v>C</c:v>
                  </c:pt>
                  <c:pt idx="15">
                    <c:v>A</c:v>
                  </c:pt>
                  <c:pt idx="16">
                    <c:v>B</c:v>
                  </c:pt>
                  <c:pt idx="17">
                    <c:v>C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2</c:v>
                  </c:pt>
                  <c:pt idx="4">
                    <c:v>2</c:v>
                  </c:pt>
                  <c:pt idx="5">
                    <c:v>2</c:v>
                  </c:pt>
                  <c:pt idx="6">
                    <c:v>3</c:v>
                  </c:pt>
                  <c:pt idx="7">
                    <c:v>3</c:v>
                  </c:pt>
                  <c:pt idx="8">
                    <c:v>3</c:v>
                  </c:pt>
                  <c:pt idx="9">
                    <c:v>4</c:v>
                  </c:pt>
                  <c:pt idx="10">
                    <c:v>4</c:v>
                  </c:pt>
                  <c:pt idx="11">
                    <c:v>4</c:v>
                  </c:pt>
                  <c:pt idx="12">
                    <c:v>5</c:v>
                  </c:pt>
                  <c:pt idx="13">
                    <c:v>5</c:v>
                  </c:pt>
                  <c:pt idx="14">
                    <c:v>5</c:v>
                  </c:pt>
                  <c:pt idx="15">
                    <c:v>6</c:v>
                  </c:pt>
                  <c:pt idx="16">
                    <c:v>6</c:v>
                  </c:pt>
                  <c:pt idx="17">
                    <c:v>6</c:v>
                  </c:pt>
                </c:lvl>
              </c:multiLvlStrCache>
            </c:multiLvlStrRef>
          </c:cat>
          <c:val>
            <c:numRef>
              <c:f>Data!$M$2:$M$19</c:f>
              <c:numCache>
                <c:formatCode>General</c:formatCode>
                <c:ptCount val="18"/>
                <c:pt idx="0">
                  <c:v>72</c:v>
                </c:pt>
                <c:pt idx="1">
                  <c:v>50</c:v>
                </c:pt>
                <c:pt idx="2">
                  <c:v>35</c:v>
                </c:pt>
                <c:pt idx="3">
                  <c:v>165</c:v>
                </c:pt>
                <c:pt idx="4">
                  <c:v>148</c:v>
                </c:pt>
                <c:pt idx="5">
                  <c:v>103</c:v>
                </c:pt>
                <c:pt idx="6">
                  <c:v>200</c:v>
                </c:pt>
                <c:pt idx="7">
                  <c:v>180</c:v>
                </c:pt>
                <c:pt idx="8">
                  <c:v>144</c:v>
                </c:pt>
                <c:pt idx="9">
                  <c:v>80</c:v>
                </c:pt>
                <c:pt idx="10">
                  <c:v>72</c:v>
                </c:pt>
                <c:pt idx="11">
                  <c:v>57</c:v>
                </c:pt>
                <c:pt idx="12">
                  <c:v>76</c:v>
                </c:pt>
                <c:pt idx="13">
                  <c:v>53</c:v>
                </c:pt>
                <c:pt idx="14">
                  <c:v>47</c:v>
                </c:pt>
                <c:pt idx="15">
                  <c:v>117</c:v>
                </c:pt>
                <c:pt idx="16">
                  <c:v>93</c:v>
                </c:pt>
                <c:pt idx="17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EE1-444F-BCA0-48F7A78B6910}"/>
            </c:ext>
          </c:extLst>
        </c:ser>
        <c:ser>
          <c:idx val="11"/>
          <c:order val="11"/>
          <c:tx>
            <c:strRef>
              <c:f>Data!$N$1</c:f>
              <c:strCache>
                <c:ptCount val="1"/>
                <c:pt idx="0">
                  <c:v>December</c:v>
                </c:pt>
              </c:strCache>
            </c:strRef>
          </c:tx>
          <c:spPr>
            <a:pattFill prst="narHorz">
              <a:fgClr>
                <a:schemeClr val="accent6">
                  <a:lumMod val="60000"/>
                </a:schemeClr>
              </a:fgClr>
              <a:bgClr>
                <a:schemeClr val="accent6">
                  <a:lumMod val="60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>
                  <a:lumMod val="60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Data!$A$2:$B$19</c:f>
              <c:multiLvlStrCache>
                <c:ptCount val="18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A</c:v>
                  </c:pt>
                  <c:pt idx="4">
                    <c:v>B</c:v>
                  </c:pt>
                  <c:pt idx="5">
                    <c:v>C</c:v>
                  </c:pt>
                  <c:pt idx="6">
                    <c:v>A</c:v>
                  </c:pt>
                  <c:pt idx="7">
                    <c:v>B</c:v>
                  </c:pt>
                  <c:pt idx="8">
                    <c:v>C</c:v>
                  </c:pt>
                  <c:pt idx="9">
                    <c:v>A</c:v>
                  </c:pt>
                  <c:pt idx="10">
                    <c:v>B</c:v>
                  </c:pt>
                  <c:pt idx="11">
                    <c:v>C</c:v>
                  </c:pt>
                  <c:pt idx="12">
                    <c:v>A</c:v>
                  </c:pt>
                  <c:pt idx="13">
                    <c:v>B</c:v>
                  </c:pt>
                  <c:pt idx="14">
                    <c:v>C</c:v>
                  </c:pt>
                  <c:pt idx="15">
                    <c:v>A</c:v>
                  </c:pt>
                  <c:pt idx="16">
                    <c:v>B</c:v>
                  </c:pt>
                  <c:pt idx="17">
                    <c:v>C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2</c:v>
                  </c:pt>
                  <c:pt idx="4">
                    <c:v>2</c:v>
                  </c:pt>
                  <c:pt idx="5">
                    <c:v>2</c:v>
                  </c:pt>
                  <c:pt idx="6">
                    <c:v>3</c:v>
                  </c:pt>
                  <c:pt idx="7">
                    <c:v>3</c:v>
                  </c:pt>
                  <c:pt idx="8">
                    <c:v>3</c:v>
                  </c:pt>
                  <c:pt idx="9">
                    <c:v>4</c:v>
                  </c:pt>
                  <c:pt idx="10">
                    <c:v>4</c:v>
                  </c:pt>
                  <c:pt idx="11">
                    <c:v>4</c:v>
                  </c:pt>
                  <c:pt idx="12">
                    <c:v>5</c:v>
                  </c:pt>
                  <c:pt idx="13">
                    <c:v>5</c:v>
                  </c:pt>
                  <c:pt idx="14">
                    <c:v>5</c:v>
                  </c:pt>
                  <c:pt idx="15">
                    <c:v>6</c:v>
                  </c:pt>
                  <c:pt idx="16">
                    <c:v>6</c:v>
                  </c:pt>
                  <c:pt idx="17">
                    <c:v>6</c:v>
                  </c:pt>
                </c:lvl>
              </c:multiLvlStrCache>
            </c:multiLvlStrRef>
          </c:cat>
          <c:val>
            <c:numRef>
              <c:f>Data!$N$2:$N$19</c:f>
              <c:numCache>
                <c:formatCode>General</c:formatCode>
                <c:ptCount val="18"/>
                <c:pt idx="0">
                  <c:v>199</c:v>
                </c:pt>
                <c:pt idx="1">
                  <c:v>139</c:v>
                </c:pt>
                <c:pt idx="2">
                  <c:v>97</c:v>
                </c:pt>
                <c:pt idx="3">
                  <c:v>104</c:v>
                </c:pt>
                <c:pt idx="4">
                  <c:v>83</c:v>
                </c:pt>
                <c:pt idx="5">
                  <c:v>66</c:v>
                </c:pt>
                <c:pt idx="6">
                  <c:v>183</c:v>
                </c:pt>
                <c:pt idx="7">
                  <c:v>164</c:v>
                </c:pt>
                <c:pt idx="8">
                  <c:v>131</c:v>
                </c:pt>
                <c:pt idx="9">
                  <c:v>100</c:v>
                </c:pt>
                <c:pt idx="10">
                  <c:v>90</c:v>
                </c:pt>
                <c:pt idx="11">
                  <c:v>72</c:v>
                </c:pt>
                <c:pt idx="12">
                  <c:v>176</c:v>
                </c:pt>
                <c:pt idx="13">
                  <c:v>140</c:v>
                </c:pt>
                <c:pt idx="14">
                  <c:v>112</c:v>
                </c:pt>
                <c:pt idx="15">
                  <c:v>176</c:v>
                </c:pt>
                <c:pt idx="16">
                  <c:v>123</c:v>
                </c:pt>
                <c:pt idx="17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EE1-444F-BCA0-48F7A78B69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932745264"/>
        <c:axId val="932741104"/>
      </c:barChart>
      <c:catAx>
        <c:axId val="93274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932741104"/>
        <c:crosses val="autoZero"/>
        <c:auto val="1"/>
        <c:lblAlgn val="ctr"/>
        <c:lblOffset val="100"/>
        <c:noMultiLvlLbl val="0"/>
      </c:catAx>
      <c:valAx>
        <c:axId val="932741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93274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E6969C3-50A0-4740-85D2-F8778E40A7EE}">
  <sheetPr codeName="Chart5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Spin" dx="22" fmlaLink="Processing!$K$1" max="12" min="1" page="10"/>
</file>

<file path=xl/ctrlProps/ctrlProp4.xml><?xml version="1.0" encoding="utf-8"?>
<formControlPr xmlns="http://schemas.microsoft.com/office/spreadsheetml/2009/9/main" objectType="CheckBox" checked="Checked" fmlaLink="Processing!$K$4" lockText="1" noThreeD="1"/>
</file>

<file path=xl/ctrlProps/ctrlProp5.xml><?xml version="1.0" encoding="utf-8"?>
<formControlPr xmlns="http://schemas.microsoft.com/office/spreadsheetml/2009/9/main" objectType="CheckBox" checked="Checked" fmlaLink="Processing!$K$5" lockText="1" noThreeD="1"/>
</file>

<file path=xl/ctrlProps/ctrlProp6.xml><?xml version="1.0" encoding="utf-8"?>
<formControlPr xmlns="http://schemas.microsoft.com/office/spreadsheetml/2009/9/main" objectType="CheckBox" checked="Checked" fmlaLink="Processing!$K$6" lockText="1" noThreeD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gi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333373</xdr:colOff>
      <xdr:row>1</xdr:row>
      <xdr:rowOff>152399</xdr:rowOff>
    </xdr:from>
    <xdr:to>
      <xdr:col>2</xdr:col>
      <xdr:colOff>390524</xdr:colOff>
      <xdr:row>1</xdr:row>
      <xdr:rowOff>419100</xdr:rowOff>
    </xdr:to>
    <xdr:sp macro="[0]!Login_click" textlink="">
      <xdr:nvSpPr>
        <xdr:cNvPr id="22" name="btnLogi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428626</xdr:colOff>
      <xdr:row>1</xdr:row>
      <xdr:rowOff>142875</xdr:rowOff>
    </xdr:from>
    <xdr:to>
      <xdr:col>2</xdr:col>
      <xdr:colOff>1647825</xdr:colOff>
      <xdr:row>1</xdr:row>
      <xdr:rowOff>428625</xdr:rowOff>
    </xdr:to>
    <xdr:sp macro="[0]!ZaloSend_click" textlink="">
      <xdr:nvSpPr>
        <xdr:cNvPr id="29" name="btnSend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2</xdr:col>
      <xdr:colOff>657225</xdr:colOff>
      <xdr:row>0</xdr:row>
      <xdr:rowOff>95250</xdr:rowOff>
    </xdr:from>
    <xdr:to>
      <xdr:col>2</xdr:col>
      <xdr:colOff>1581151</xdr:colOff>
      <xdr:row>1</xdr:row>
      <xdr:rowOff>47625</xdr:rowOff>
    </xdr:to>
    <xdr:sp macro="[0]!toggleChromeVisible" textlink="">
      <xdr:nvSpPr>
        <xdr:cNvPr id="27" name="btnCenterH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238375" y="95250"/>
          <a:ext cx="923926" cy="23812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Ẩn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4</xdr:col>
      <xdr:colOff>266699</xdr:colOff>
      <xdr:row>0</xdr:row>
      <xdr:rowOff>76200</xdr:rowOff>
    </xdr:from>
    <xdr:to>
      <xdr:col>6</xdr:col>
      <xdr:colOff>581025</xdr:colOff>
      <xdr:row>1</xdr:row>
      <xdr:rowOff>28574</xdr:rowOff>
    </xdr:to>
    <xdr:sp macro="[0]!downloadSeleniumBasic" textlink="">
      <xdr:nvSpPr>
        <xdr:cNvPr id="36" name="btnCenterH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7419974" y="762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twoCellAnchor>
  <xdr:twoCellAnchor editAs="absolute">
    <xdr:from>
      <xdr:col>3</xdr:col>
      <xdr:colOff>990599</xdr:colOff>
      <xdr:row>0</xdr:row>
      <xdr:rowOff>95249</xdr:rowOff>
    </xdr:from>
    <xdr:to>
      <xdr:col>3</xdr:col>
      <xdr:colOff>2299106</xdr:colOff>
      <xdr:row>1</xdr:row>
      <xdr:rowOff>28574</xdr:rowOff>
    </xdr:to>
    <xdr:sp macro="[0]!downloadChrome" textlink="">
      <xdr:nvSpPr>
        <xdr:cNvPr id="37" name="btnCenterH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543424" y="952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3</xdr:col>
      <xdr:colOff>2305051</xdr:colOff>
      <xdr:row>0</xdr:row>
      <xdr:rowOff>95250</xdr:rowOff>
    </xdr:from>
    <xdr:to>
      <xdr:col>4</xdr:col>
      <xdr:colOff>259997</xdr:colOff>
      <xdr:row>1</xdr:row>
      <xdr:rowOff>28575</xdr:rowOff>
    </xdr:to>
    <xdr:sp macro="[0]!btnUpdateChromedriver" textlink="">
      <xdr:nvSpPr>
        <xdr:cNvPr id="38" name="btnCenterH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857876" y="952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1219200</xdr:colOff>
          <xdr:row>1</xdr:row>
          <xdr:rowOff>171450</xdr:rowOff>
        </xdr:from>
        <xdr:to>
          <xdr:col>3</xdr:col>
          <xdr:colOff>2533650</xdr:colOff>
          <xdr:row>1</xdr:row>
          <xdr:rowOff>390525</xdr:rowOff>
        </xdr:to>
        <xdr:sp macro="" textlink="">
          <xdr:nvSpPr>
            <xdr:cNvPr id="1026" name="chxReSen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2705100</xdr:colOff>
      <xdr:row>1</xdr:row>
      <xdr:rowOff>152400</xdr:rowOff>
    </xdr:from>
    <xdr:to>
      <xdr:col>4</xdr:col>
      <xdr:colOff>285751</xdr:colOff>
      <xdr:row>1</xdr:row>
      <xdr:rowOff>419101</xdr:rowOff>
    </xdr:to>
    <xdr:sp macro="[0]!ZaloContact_click" textlink="">
      <xdr:nvSpPr>
        <xdr:cNvPr id="40" name="btnLogin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1695450</xdr:colOff>
      <xdr:row>1</xdr:row>
      <xdr:rowOff>142875</xdr:rowOff>
    </xdr:from>
    <xdr:to>
      <xdr:col>3</xdr:col>
      <xdr:colOff>914400</xdr:colOff>
      <xdr:row>1</xdr:row>
      <xdr:rowOff>428625</xdr:rowOff>
    </xdr:to>
    <xdr:sp macro="[0]!ZaloSendAll_click" textlink="">
      <xdr:nvSpPr>
        <xdr:cNvPr id="41" name="btnSendAll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 cả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428625</xdr:colOff>
          <xdr:row>1</xdr:row>
          <xdr:rowOff>142875</xdr:rowOff>
        </xdr:from>
        <xdr:to>
          <xdr:col>6</xdr:col>
          <xdr:colOff>95250</xdr:colOff>
          <xdr:row>1</xdr:row>
          <xdr:rowOff>381000</xdr:rowOff>
        </xdr:to>
        <xdr:sp macro="" textlink="">
          <xdr:nvSpPr>
            <xdr:cNvPr id="1032" name="chxSleepWindo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2047874</xdr:colOff>
      <xdr:row>2</xdr:row>
      <xdr:rowOff>38100</xdr:rowOff>
    </xdr:from>
    <xdr:to>
      <xdr:col>3</xdr:col>
      <xdr:colOff>2524125</xdr:colOff>
      <xdr:row>2</xdr:row>
      <xdr:rowOff>257175</xdr:rowOff>
    </xdr:to>
    <xdr:sp macro="[0]!AttachFiles" textlink="">
      <xdr:nvSpPr>
        <xdr:cNvPr id="20" name="btnFiles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600699" y="790575"/>
          <a:ext cx="476251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Tệp</a:t>
          </a:r>
        </a:p>
      </xdr:txBody>
    </xdr:sp>
    <xdr:clientData/>
  </xdr:twoCellAnchor>
  <xdr:twoCellAnchor editAs="absolute">
    <xdr:from>
      <xdr:col>2</xdr:col>
      <xdr:colOff>1638300</xdr:colOff>
      <xdr:row>0</xdr:row>
      <xdr:rowOff>95250</xdr:rowOff>
    </xdr:from>
    <xdr:to>
      <xdr:col>3</xdr:col>
      <xdr:colOff>975132</xdr:colOff>
      <xdr:row>1</xdr:row>
      <xdr:rowOff>28575</xdr:rowOff>
    </xdr:to>
    <xdr:sp macro="[0]!ChromeClose" textlink="">
      <xdr:nvSpPr>
        <xdr:cNvPr id="21" name="btnChromeClose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219450" y="95250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Đóng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3</xdr:col>
      <xdr:colOff>2562223</xdr:colOff>
      <xdr:row>2</xdr:row>
      <xdr:rowOff>38100</xdr:rowOff>
    </xdr:from>
    <xdr:to>
      <xdr:col>3</xdr:col>
      <xdr:colOff>3076574</xdr:colOff>
      <xdr:row>2</xdr:row>
      <xdr:rowOff>257175</xdr:rowOff>
    </xdr:to>
    <xdr:sp macro="[0]!AttachObjects" textlink="">
      <xdr:nvSpPr>
        <xdr:cNvPr id="23" name="btnObjects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115048" y="790575"/>
          <a:ext cx="514351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Ô/ĐT</a:t>
          </a:r>
        </a:p>
      </xdr:txBody>
    </xdr:sp>
    <xdr:clientData/>
  </xdr:twoCellAnchor>
  <xdr:twoCellAnchor editAs="absolute">
    <xdr:from>
      <xdr:col>3</xdr:col>
      <xdr:colOff>3105150</xdr:colOff>
      <xdr:row>2</xdr:row>
      <xdr:rowOff>38100</xdr:rowOff>
    </xdr:from>
    <xdr:to>
      <xdr:col>3</xdr:col>
      <xdr:colOff>3581400</xdr:colOff>
      <xdr:row>2</xdr:row>
      <xdr:rowOff>257175</xdr:rowOff>
    </xdr:to>
    <xdr:sp macro="[0]!ClipboardText" textlink="">
      <xdr:nvSpPr>
        <xdr:cNvPr id="24" name="btnObjects">
          <a:extLst>
            <a:ext uri="{FF2B5EF4-FFF2-40B4-BE49-F238E27FC236}">
              <a16:creationId xmlns:a16="http://schemas.microsoft.com/office/drawing/2014/main" id="{444289B0-BADD-4F86-B480-DF6575BAF21A}"/>
            </a:ext>
          </a:extLst>
        </xdr:cNvPr>
        <xdr:cNvSpPr/>
      </xdr:nvSpPr>
      <xdr:spPr>
        <a:xfrm>
          <a:off x="6657975" y="790575"/>
          <a:ext cx="476250" cy="219075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161925</xdr:colOff>
      <xdr:row>0</xdr:row>
      <xdr:rowOff>247650</xdr:rowOff>
    </xdr:from>
    <xdr:to>
      <xdr:col>6</xdr:col>
      <xdr:colOff>31750</xdr:colOff>
      <xdr:row>10</xdr:row>
      <xdr:rowOff>6350</xdr:rowOff>
    </xdr:to>
    <xdr:grpSp>
      <xdr:nvGrpSpPr>
        <xdr:cNvPr id="20" name="GroupAlertMienPhi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21" name="btn_Alert_MienPhi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22" name="btn_Copy_LienHe_Messenger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24" name="btn_Copy_Bank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25" name="btn_Open_Site_Momo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Github" textlink="">
        <xdr:nvSpPr>
          <xdr:cNvPr id="27" name="btn_Github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459441</xdr:colOff>
      <xdr:row>11</xdr:row>
      <xdr:rowOff>212909</xdr:rowOff>
    </xdr:from>
    <xdr:to>
      <xdr:col>8</xdr:col>
      <xdr:colOff>302807</xdr:colOff>
      <xdr:row>14</xdr:row>
      <xdr:rowOff>56027</xdr:rowOff>
    </xdr:to>
    <xdr:sp macro="" textlink="">
      <xdr:nvSpPr>
        <xdr:cNvPr id="10" name="Полилиния 10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326716" y="2660834"/>
          <a:ext cx="538691" cy="500343"/>
        </a:xfrm>
        <a:custGeom>
          <a:avLst/>
          <a:gdLst>
            <a:gd name="connsiteX0" fmla="*/ 0 w 4426323"/>
            <a:gd name="connsiteY0" fmla="*/ 1255059 h 5087471"/>
            <a:gd name="connsiteX1" fmla="*/ 2218764 w 4426323"/>
            <a:gd name="connsiteY1" fmla="*/ 0 h 5087471"/>
            <a:gd name="connsiteX2" fmla="*/ 4403911 w 4426323"/>
            <a:gd name="connsiteY2" fmla="*/ 1288676 h 5087471"/>
            <a:gd name="connsiteX3" fmla="*/ 4426323 w 4426323"/>
            <a:gd name="connsiteY3" fmla="*/ 3821206 h 5087471"/>
            <a:gd name="connsiteX4" fmla="*/ 2218764 w 4426323"/>
            <a:gd name="connsiteY4" fmla="*/ 5087471 h 5087471"/>
            <a:gd name="connsiteX5" fmla="*/ 11205 w 4426323"/>
            <a:gd name="connsiteY5" fmla="*/ 3843618 h 5087471"/>
            <a:gd name="connsiteX6" fmla="*/ 0 w 4426323"/>
            <a:gd name="connsiteY6" fmla="*/ 1255059 h 508747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4426323" h="5087471">
              <a:moveTo>
                <a:pt x="0" y="1255059"/>
              </a:moveTo>
              <a:lnTo>
                <a:pt x="2218764" y="0"/>
              </a:lnTo>
              <a:lnTo>
                <a:pt x="4403911" y="1288676"/>
              </a:lnTo>
              <a:lnTo>
                <a:pt x="4426323" y="3821206"/>
              </a:lnTo>
              <a:lnTo>
                <a:pt x="2218764" y="5087471"/>
              </a:lnTo>
              <a:lnTo>
                <a:pt x="11205" y="3843618"/>
              </a:lnTo>
              <a:lnTo>
                <a:pt x="0" y="1255059"/>
              </a:lnTo>
              <a:close/>
            </a:path>
          </a:pathLst>
        </a:custGeom>
        <a:solidFill>
          <a:schemeClr val="bg1"/>
        </a:solidFill>
        <a:ln>
          <a:noFill/>
        </a:ln>
        <a:effectLst>
          <a:outerShdw blurRad="63500" sx="113000" sy="113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171450</xdr:rowOff>
        </xdr:from>
        <xdr:to>
          <xdr:col>16</xdr:col>
          <xdr:colOff>485775</xdr:colOff>
          <xdr:row>3</xdr:row>
          <xdr:rowOff>47625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7</xdr:row>
          <xdr:rowOff>19050</xdr:rowOff>
        </xdr:from>
        <xdr:to>
          <xdr:col>16</xdr:col>
          <xdr:colOff>47625</xdr:colOff>
          <xdr:row>8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9</xdr:row>
          <xdr:rowOff>19050</xdr:rowOff>
        </xdr:from>
        <xdr:to>
          <xdr:col>16</xdr:col>
          <xdr:colOff>47625</xdr:colOff>
          <xdr:row>10</xdr:row>
          <xdr:rowOff>9525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11</xdr:row>
          <xdr:rowOff>19050</xdr:rowOff>
        </xdr:from>
        <xdr:to>
          <xdr:col>16</xdr:col>
          <xdr:colOff>47625</xdr:colOff>
          <xdr:row>12</xdr:row>
          <xdr:rowOff>9525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Флажок 3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132627</xdr:colOff>
      <xdr:row>0</xdr:row>
      <xdr:rowOff>36171</xdr:rowOff>
    </xdr:from>
    <xdr:to>
      <xdr:col>22</xdr:col>
      <xdr:colOff>221076</xdr:colOff>
      <xdr:row>33</xdr:row>
      <xdr:rowOff>47377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5727057" y="36171"/>
          <a:ext cx="9673734" cy="6570193"/>
          <a:chOff x="0" y="0"/>
          <a:chExt cx="9673734" cy="6570193"/>
        </a:xfrm>
      </xdr:grpSpPr>
      <xdr:sp macro="" textlink="">
        <xdr:nvSpPr>
          <xdr:cNvPr id="2" name="Прямоугольник 2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0" y="0"/>
            <a:ext cx="9673655" cy="6570193"/>
          </a:xfrm>
          <a:prstGeom prst="rect">
            <a:avLst/>
          </a:prstGeom>
          <a:gradFill flip="none" rotWithShape="1">
            <a:gsLst>
              <a:gs pos="16000">
                <a:srgbClr val="581282"/>
              </a:gs>
              <a:gs pos="95000">
                <a:srgbClr val="0E0513"/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3" name="Диаграмма 1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GraphicFramePr>
            <a:graphicFrameLocks/>
          </xdr:cNvGraphicFramePr>
        </xdr:nvGraphicFramePr>
        <xdr:xfrm>
          <a:off x="1674834" y="19050"/>
          <a:ext cx="7920381" cy="57428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Processing!J1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4621645" y="3684323"/>
            <a:ext cx="743345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A5E0680-DEA8-45CC-9E2D-F5DBB93F3E26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22%</a:t>
            </a:fld>
            <a:endParaRPr lang="en-US" sz="2500" b="0">
              <a:solidFill>
                <a:schemeClr val="bg1"/>
              </a:solidFill>
            </a:endParaRPr>
          </a:p>
        </xdr:txBody>
      </xdr:sp>
      <xdr:sp macro="" textlink="Processing!J4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3929065" y="2739708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038944-235B-4EDD-924E-472B661DC0EF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17%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7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4621645" y="1738496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70D665E-5420-43C9-9A48-BDBE8A52808E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13%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0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5896989" y="1738496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C27FB1-7C71-4673-A311-180731129D37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18%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3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 txBox="1"/>
        </xdr:nvSpPr>
        <xdr:spPr>
          <a:xfrm>
            <a:off x="6533541" y="2739708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34ED6BC-36E3-4358-AAEF-92356558F16C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14%</a:t>
            </a:fld>
            <a:endParaRPr lang="en-US" sz="2500" b="1">
              <a:solidFill>
                <a:schemeClr val="bg1"/>
              </a:solidFill>
            </a:endParaRPr>
          </a:p>
        </xdr:txBody>
      </xdr:sp>
      <xdr:sp macro="" textlink="Processing!J16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/>
        </xdr:nvSpPr>
        <xdr:spPr>
          <a:xfrm>
            <a:off x="5896989" y="3684323"/>
            <a:ext cx="738792" cy="483722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804D6D4-EE7E-4CC9-BDFD-EA412154127E}" type="TxLink">
              <a:rPr lang="en-US" sz="25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16%</a:t>
            </a:fld>
            <a:endParaRPr lang="en-US" sz="2500" b="1">
              <a:solidFill>
                <a:schemeClr val="bg1"/>
              </a:solidFill>
            </a:endParaRPr>
          </a:p>
        </xdr:txBody>
      </xdr:sp>
      <xdr:grpSp>
        <xdr:nvGrpSpPr>
          <xdr:cNvPr id="11" name="Группа 11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GrpSpPr/>
        </xdr:nvGrpSpPr>
        <xdr:grpSpPr>
          <a:xfrm>
            <a:off x="2311094" y="315325"/>
            <a:ext cx="859054" cy="843137"/>
            <a:chOff x="4140476" y="1571625"/>
            <a:chExt cx="2699302" cy="3124200"/>
          </a:xfrm>
        </xdr:grpSpPr>
        <xdr:sp macro="" textlink="">
          <xdr:nvSpPr>
            <xdr:cNvPr id="12" name="Полилиния 12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/>
          </xdr:nvSpPr>
          <xdr:spPr>
            <a:xfrm>
              <a:off x="4140476" y="1571625"/>
              <a:ext cx="2699302" cy="3124200"/>
            </a:xfrm>
            <a:custGeom>
              <a:avLst/>
              <a:gdLst>
                <a:gd name="connsiteX0" fmla="*/ 1438275 w 2686050"/>
                <a:gd name="connsiteY0" fmla="*/ 0 h 3124200"/>
                <a:gd name="connsiteX1" fmla="*/ 1447800 w 2686050"/>
                <a:gd name="connsiteY1" fmla="*/ 3124200 h 3124200"/>
                <a:gd name="connsiteX2" fmla="*/ 0 w 2686050"/>
                <a:gd name="connsiteY2" fmla="*/ 2286000 h 3124200"/>
                <a:gd name="connsiteX3" fmla="*/ 2686050 w 2686050"/>
                <a:gd name="connsiteY3" fmla="*/ 733425 h 3124200"/>
                <a:gd name="connsiteX4" fmla="*/ 1438275 w 2686050"/>
                <a:gd name="connsiteY4" fmla="*/ 0 h 3124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686050" h="3124200">
                  <a:moveTo>
                    <a:pt x="1438275" y="0"/>
                  </a:moveTo>
                  <a:lnTo>
                    <a:pt x="1447800" y="3124200"/>
                  </a:lnTo>
                  <a:lnTo>
                    <a:pt x="0" y="2286000"/>
                  </a:lnTo>
                  <a:lnTo>
                    <a:pt x="2686050" y="733425"/>
                  </a:lnTo>
                  <a:lnTo>
                    <a:pt x="1438275" y="0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" name="Полилиния 13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/>
          </xdr:nvSpPr>
          <xdr:spPr>
            <a:xfrm>
              <a:off x="4330976" y="2257425"/>
              <a:ext cx="2413552" cy="2171700"/>
            </a:xfrm>
            <a:custGeom>
              <a:avLst/>
              <a:gdLst>
                <a:gd name="connsiteX0" fmla="*/ 0 w 2409825"/>
                <a:gd name="connsiteY0" fmla="*/ 0 h 2057400"/>
                <a:gd name="connsiteX1" fmla="*/ 2409825 w 2409825"/>
                <a:gd name="connsiteY1" fmla="*/ 1419225 h 2057400"/>
                <a:gd name="connsiteX2" fmla="*/ 1257300 w 2409825"/>
                <a:gd name="connsiteY2" fmla="*/ 2057400 h 2057400"/>
                <a:gd name="connsiteX3" fmla="*/ 38100 w 2409825"/>
                <a:gd name="connsiteY3" fmla="*/ 1381125 h 2057400"/>
                <a:gd name="connsiteX4" fmla="*/ 0 w 2409825"/>
                <a:gd name="connsiteY4" fmla="*/ 0 h 20574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409825" h="2057400">
                  <a:moveTo>
                    <a:pt x="0" y="0"/>
                  </a:moveTo>
                  <a:lnTo>
                    <a:pt x="2409825" y="1419225"/>
                  </a:lnTo>
                  <a:lnTo>
                    <a:pt x="1257300" y="2057400"/>
                  </a:lnTo>
                  <a:lnTo>
                    <a:pt x="38100" y="1381125"/>
                  </a:lnTo>
                  <a:lnTo>
                    <a:pt x="0" y="0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4" name="Прямая соединительная линия 14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CxnSpPr/>
          </xdr:nvCxnSpPr>
          <xdr:spPr>
            <a:xfrm flipV="1">
              <a:off x="4673876" y="1956955"/>
              <a:ext cx="921026" cy="519546"/>
            </a:xfrm>
            <a:prstGeom prst="line">
              <a:avLst/>
            </a:prstGeom>
            <a:ln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Прямая соединительная линия 15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CxnSpPr/>
          </xdr:nvCxnSpPr>
          <xdr:spPr>
            <a:xfrm flipV="1">
              <a:off x="6573944" y="2455718"/>
              <a:ext cx="9526" cy="1198418"/>
            </a:xfrm>
            <a:prstGeom prst="line">
              <a:avLst/>
            </a:prstGeom>
            <a:ln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6" name="Полилиния 16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/>
          </xdr:nvSpPr>
          <xdr:spPr>
            <a:xfrm>
              <a:off x="4494297" y="1962981"/>
              <a:ext cx="2070651" cy="2087221"/>
            </a:xfrm>
            <a:custGeom>
              <a:avLst/>
              <a:gdLst>
                <a:gd name="connsiteX0" fmla="*/ 0 w 2070652"/>
                <a:gd name="connsiteY0" fmla="*/ 389283 h 2087218"/>
                <a:gd name="connsiteX1" fmla="*/ 33131 w 2070652"/>
                <a:gd name="connsiteY1" fmla="*/ 1681370 h 2087218"/>
                <a:gd name="connsiteX2" fmla="*/ 182218 w 2070652"/>
                <a:gd name="connsiteY2" fmla="*/ 1573696 h 2087218"/>
                <a:gd name="connsiteX3" fmla="*/ 1109870 w 2070652"/>
                <a:gd name="connsiteY3" fmla="*/ 2087218 h 2087218"/>
                <a:gd name="connsiteX4" fmla="*/ 1109870 w 2070652"/>
                <a:gd name="connsiteY4" fmla="*/ 1880152 h 2087218"/>
                <a:gd name="connsiteX5" fmla="*/ 1780761 w 2070652"/>
                <a:gd name="connsiteY5" fmla="*/ 1507435 h 2087218"/>
                <a:gd name="connsiteX6" fmla="*/ 1797326 w 2070652"/>
                <a:gd name="connsiteY6" fmla="*/ 679174 h 2087218"/>
                <a:gd name="connsiteX7" fmla="*/ 2070652 w 2070652"/>
                <a:gd name="connsiteY7" fmla="*/ 530087 h 2087218"/>
                <a:gd name="connsiteX8" fmla="*/ 1109870 w 2070652"/>
                <a:gd name="connsiteY8" fmla="*/ 0 h 2087218"/>
                <a:gd name="connsiteX9" fmla="*/ 1109870 w 2070652"/>
                <a:gd name="connsiteY9" fmla="*/ 323022 h 2087218"/>
                <a:gd name="connsiteX10" fmla="*/ 488674 w 2070652"/>
                <a:gd name="connsiteY10" fmla="*/ 687457 h 2087218"/>
                <a:gd name="connsiteX11" fmla="*/ 0 w 2070652"/>
                <a:gd name="connsiteY11" fmla="*/ 389283 h 208721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2070652" h="2087218">
                  <a:moveTo>
                    <a:pt x="0" y="389283"/>
                  </a:moveTo>
                  <a:lnTo>
                    <a:pt x="33131" y="1681370"/>
                  </a:lnTo>
                  <a:lnTo>
                    <a:pt x="182218" y="1573696"/>
                  </a:lnTo>
                  <a:lnTo>
                    <a:pt x="1109870" y="2087218"/>
                  </a:lnTo>
                  <a:lnTo>
                    <a:pt x="1109870" y="1880152"/>
                  </a:lnTo>
                  <a:lnTo>
                    <a:pt x="1780761" y="1507435"/>
                  </a:lnTo>
                  <a:lnTo>
                    <a:pt x="1797326" y="679174"/>
                  </a:lnTo>
                  <a:lnTo>
                    <a:pt x="2070652" y="530087"/>
                  </a:lnTo>
                  <a:lnTo>
                    <a:pt x="1109870" y="0"/>
                  </a:lnTo>
                  <a:lnTo>
                    <a:pt x="1109870" y="323022"/>
                  </a:lnTo>
                  <a:lnTo>
                    <a:pt x="488674" y="687457"/>
                  </a:lnTo>
                  <a:lnTo>
                    <a:pt x="0" y="389283"/>
                  </a:lnTo>
                  <a:close/>
                </a:path>
              </a:pathLst>
            </a:custGeom>
            <a:noFill/>
            <a:ln>
              <a:solidFill>
                <a:schemeClr val="bg1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 txBox="1"/>
        </xdr:nvSpPr>
        <xdr:spPr>
          <a:xfrm>
            <a:off x="201706" y="326531"/>
            <a:ext cx="1682833" cy="7185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l-PL" sz="2000">
                <a:solidFill>
                  <a:srgbClr val="A4FEF5"/>
                </a:solidFill>
                <a:effectLst/>
                <a:latin typeface="+mn-lt"/>
                <a:ea typeface="+mn-ea"/>
                <a:cs typeface="+mn-cs"/>
              </a:rPr>
              <a:t>FULLY</a:t>
            </a:r>
            <a:endParaRPr lang="ru-RU" sz="2000">
              <a:solidFill>
                <a:srgbClr val="A4FEF5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2000">
                <a:solidFill>
                  <a:srgbClr val="A4FEF5"/>
                </a:solidFill>
                <a:effectLst/>
                <a:latin typeface="+mn-lt"/>
                <a:ea typeface="+mn-ea"/>
                <a:cs typeface="+mn-cs"/>
              </a:rPr>
              <a:t>DISTRIBUTION</a:t>
            </a:r>
          </a:p>
        </xdr:txBody>
      </xdr:sp>
      <xdr:sp macro="" textlink="Processing!L1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8671793" y="338437"/>
            <a:ext cx="1001941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FA1FE7B-D3C8-4AAE-8977-621534ADA8DF}" type="TxLink">
              <a:rPr lang="ru-RU" sz="18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MONTH:</a:t>
            </a:fld>
            <a:endParaRPr lang="en-US" sz="1800">
              <a:solidFill>
                <a:schemeClr val="bg1"/>
              </a:solidFill>
            </a:endParaRPr>
          </a:p>
        </xdr:txBody>
      </xdr:sp>
      <xdr:graphicFrame macro="">
        <xdr:nvGraphicFramePr>
          <xdr:cNvPr id="23" name="Диаграмма 23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aphicFramePr>
            <a:graphicFrameLocks/>
          </xdr:cNvGraphicFramePr>
        </xdr:nvGraphicFramePr>
        <xdr:xfrm>
          <a:off x="33617" y="4791346"/>
          <a:ext cx="3088568" cy="12226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5</xdr:row>
      <xdr:rowOff>204968</xdr:rowOff>
    </xdr:from>
    <xdr:to>
      <xdr:col>8</xdr:col>
      <xdr:colOff>84399</xdr:colOff>
      <xdr:row>24</xdr:row>
      <xdr:rowOff>72342</xdr:rowOff>
    </xdr:to>
    <xdr:sp macro="" textlink="">
      <xdr:nvSpPr>
        <xdr:cNvPr id="20" name="Speech Bubble: Oval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0" y="1217753"/>
          <a:ext cx="5678829" cy="3785886"/>
        </a:xfrm>
        <a:prstGeom prst="wedgeEllipse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2400" b="1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Chọn</a:t>
          </a: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đối tượng sau đó </a:t>
          </a:r>
          <a:b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</a:b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nhấn </a:t>
          </a:r>
          <a:r>
            <a:rPr lang="en-US" sz="2400" b="1" baseline="0"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 + X</a:t>
          </a:r>
          <a:endParaRPr lang="vi-VN" sz="2400" b="1">
            <a:solidFill>
              <a:srgbClr val="FF0000"/>
            </a:solidFill>
            <a:effectLst/>
          </a:endParaRPr>
        </a:p>
        <a:p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Để sao chép tên đối tượng</a:t>
          </a:r>
          <a:endParaRPr lang="vi-VN" sz="2400" b="1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Đến trang Zalo Excel chọn ô cột D và nhấn nút Dán hoặc </a:t>
          </a:r>
          <a:r>
            <a:rPr lang="en-US" sz="2400" b="1" baseline="0"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 + X</a:t>
          </a:r>
          <a:r>
            <a:rPr lang="en-US" sz="2400" b="1" baseline="0"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lần nữa</a:t>
          </a:r>
          <a:endParaRPr lang="vi-VN" sz="4800">
            <a:solidFill>
              <a:schemeClr val="bg1"/>
            </a:solidFill>
            <a:effectLst/>
          </a:endParaRPr>
        </a:p>
        <a:p>
          <a:endParaRPr lang="vi-VN" sz="4800" b="1">
            <a:solidFill>
              <a:srgbClr val="FF0000"/>
            </a:solidFill>
            <a:effectLst/>
          </a:endParaRPr>
        </a:p>
        <a:p>
          <a:pPr algn="l"/>
          <a:endParaRPr lang="vi-VN" sz="2400" b="1"/>
        </a:p>
      </xdr:txBody>
    </xdr:sp>
    <xdr:clientData/>
  </xdr:twoCellAnchor>
  <xdr:twoCellAnchor editAs="oneCell">
    <xdr:from>
      <xdr:col>0</xdr:col>
      <xdr:colOff>192912</xdr:colOff>
      <xdr:row>30</xdr:row>
      <xdr:rowOff>96456</xdr:rowOff>
    </xdr:from>
    <xdr:to>
      <xdr:col>8</xdr:col>
      <xdr:colOff>313482</xdr:colOff>
      <xdr:row>57</xdr:row>
      <xdr:rowOff>4461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12" y="6112880"/>
          <a:ext cx="5715000" cy="47910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48700" cy="62484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ZaloExcel">
    <tabColor rgb="FF00B0F0"/>
  </sheetPr>
  <dimension ref="A1:O503"/>
  <sheetViews>
    <sheetView showRowColHeaders="0" tabSelected="1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E4" sqref="E4:G10"/>
    </sheetView>
  </sheetViews>
  <sheetFormatPr defaultColWidth="9.140625" defaultRowHeight="14.25" x14ac:dyDescent="0.2"/>
  <cols>
    <col min="1" max="1" width="6.85546875" style="3" customWidth="1"/>
    <col min="2" max="2" width="16.85546875" style="7" customWidth="1"/>
    <col min="3" max="3" width="29.5703125" style="7" customWidth="1"/>
    <col min="4" max="4" width="54" style="7" customWidth="1"/>
    <col min="5" max="5" width="10" style="7" customWidth="1"/>
    <col min="6" max="6" width="15.85546875" style="7" customWidth="1"/>
    <col min="7" max="7" width="54" style="7" customWidth="1"/>
    <col min="8" max="8" width="12.7109375" style="7" customWidth="1"/>
    <col min="9" max="9" width="16.7109375" style="7" customWidth="1"/>
    <col min="10" max="10" width="18.28515625" style="7" customWidth="1"/>
    <col min="11" max="11" width="10.42578125" style="7" customWidth="1"/>
    <col min="12" max="12" width="16.7109375" style="7" customWidth="1"/>
    <col min="13" max="13" width="16" style="7" customWidth="1"/>
    <col min="14" max="14" width="15.140625" style="7" customWidth="1"/>
    <col min="15" max="15" width="5.5703125" style="7" customWidth="1"/>
    <col min="16" max="16384" width="9.140625" style="2"/>
  </cols>
  <sheetData>
    <row r="1" spans="1:15" ht="22.5" customHeight="1" x14ac:dyDescent="0.2">
      <c r="B1" s="9" t="s">
        <v>7</v>
      </c>
      <c r="C1" s="10" t="s">
        <v>4</v>
      </c>
      <c r="D1" s="10"/>
      <c r="E1" s="6"/>
      <c r="F1" s="6"/>
      <c r="G1" s="6"/>
      <c r="H1" s="6"/>
      <c r="I1" s="1" t="s">
        <v>0</v>
      </c>
      <c r="J1" s="1" t="s">
        <v>0</v>
      </c>
      <c r="K1" s="1" t="s">
        <v>0</v>
      </c>
      <c r="L1" s="6"/>
      <c r="M1" s="6"/>
      <c r="N1" s="6"/>
      <c r="O1" s="6"/>
    </row>
    <row r="2" spans="1:15" ht="36.75" customHeight="1" x14ac:dyDescent="0.2">
      <c r="A2" s="1"/>
      <c r="B2" s="1"/>
      <c r="C2" s="1"/>
      <c r="D2" s="1"/>
      <c r="E2" s="6"/>
      <c r="F2" s="6"/>
      <c r="G2" s="6"/>
      <c r="H2" s="6"/>
      <c r="I2" s="1"/>
      <c r="J2" s="1"/>
      <c r="K2" s="1"/>
      <c r="L2" s="6"/>
      <c r="M2" s="6"/>
      <c r="N2" s="6"/>
      <c r="O2" s="6"/>
    </row>
    <row r="3" spans="1:15" ht="22.5" customHeight="1" x14ac:dyDescent="0.2">
      <c r="A3" s="4"/>
      <c r="B3" s="8" t="s">
        <v>5</v>
      </c>
      <c r="C3" s="11" t="s">
        <v>8</v>
      </c>
      <c r="D3" s="11" t="s">
        <v>34</v>
      </c>
      <c r="E3" s="8" t="s">
        <v>1</v>
      </c>
      <c r="F3" s="8" t="s">
        <v>2</v>
      </c>
      <c r="G3" s="8" t="s">
        <v>3</v>
      </c>
      <c r="H3" s="2"/>
      <c r="I3" s="2"/>
      <c r="J3" s="2"/>
      <c r="K3" s="2"/>
      <c r="L3" s="2"/>
      <c r="M3" s="2"/>
      <c r="N3" s="2"/>
      <c r="O3" s="2"/>
    </row>
    <row r="4" spans="1:15" ht="18.75" customHeight="1" x14ac:dyDescent="0.2">
      <c r="A4" s="5">
        <v>1</v>
      </c>
      <c r="B4" s="30" t="s">
        <v>6</v>
      </c>
      <c r="C4" s="31" t="s">
        <v>33</v>
      </c>
      <c r="D4" s="32"/>
      <c r="E4" s="33"/>
      <c r="F4" s="34"/>
      <c r="G4" s="33"/>
      <c r="H4" s="2"/>
      <c r="I4" s="2"/>
      <c r="J4" s="2"/>
      <c r="K4" s="2"/>
      <c r="L4" s="2"/>
      <c r="M4" s="2"/>
      <c r="N4" s="2"/>
      <c r="O4" s="2"/>
    </row>
    <row r="5" spans="1:15" ht="21" customHeight="1" x14ac:dyDescent="0.2">
      <c r="A5" s="5">
        <v>2</v>
      </c>
      <c r="B5" s="30" t="s">
        <v>6</v>
      </c>
      <c r="C5" s="31" t="s">
        <v>9</v>
      </c>
      <c r="D5" s="35" t="s">
        <v>32</v>
      </c>
      <c r="E5" s="33"/>
      <c r="F5" s="34"/>
      <c r="G5" s="33"/>
      <c r="H5" s="2"/>
      <c r="I5" s="2"/>
      <c r="J5" s="2"/>
      <c r="K5" s="2"/>
      <c r="L5" s="2"/>
      <c r="M5" s="2"/>
      <c r="N5" s="2"/>
      <c r="O5" s="2"/>
    </row>
    <row r="6" spans="1:15" ht="18.75" customHeight="1" x14ac:dyDescent="0.2">
      <c r="A6" s="5">
        <v>3</v>
      </c>
      <c r="B6" s="30" t="s">
        <v>6</v>
      </c>
      <c r="C6" s="31" t="s">
        <v>11</v>
      </c>
      <c r="D6" s="36" t="s">
        <v>38</v>
      </c>
      <c r="E6" s="33"/>
      <c r="F6" s="34"/>
      <c r="G6" s="33"/>
      <c r="H6" s="2"/>
      <c r="I6" s="2"/>
      <c r="J6" s="2"/>
      <c r="K6" s="2"/>
      <c r="L6" s="2"/>
      <c r="M6" s="2"/>
      <c r="N6" s="2"/>
      <c r="O6" s="2"/>
    </row>
    <row r="7" spans="1:15" ht="18.75" customHeight="1" x14ac:dyDescent="0.2">
      <c r="A7" s="5">
        <v>4</v>
      </c>
      <c r="B7" s="30" t="s">
        <v>6</v>
      </c>
      <c r="C7" s="31" t="s">
        <v>10</v>
      </c>
      <c r="D7" s="37" t="s">
        <v>35</v>
      </c>
      <c r="E7" s="33"/>
      <c r="F7" s="34"/>
      <c r="G7" s="33"/>
      <c r="H7" s="2"/>
      <c r="I7" s="2"/>
      <c r="J7" s="2"/>
      <c r="K7" s="2"/>
      <c r="L7" s="2"/>
      <c r="M7" s="2"/>
      <c r="N7" s="2"/>
      <c r="O7" s="2"/>
    </row>
    <row r="8" spans="1:15" ht="21.75" customHeight="1" x14ac:dyDescent="0.2">
      <c r="A8" s="5">
        <v>5</v>
      </c>
      <c r="B8" s="30" t="s">
        <v>6</v>
      </c>
      <c r="C8" s="31" t="s">
        <v>37</v>
      </c>
      <c r="D8" s="38" t="s">
        <v>36</v>
      </c>
      <c r="E8" s="33"/>
      <c r="F8" s="34"/>
      <c r="G8" s="33"/>
      <c r="H8" s="2"/>
      <c r="I8" s="2"/>
      <c r="J8" s="2"/>
      <c r="K8" s="2"/>
      <c r="L8" s="2"/>
      <c r="M8" s="2"/>
      <c r="N8" s="2"/>
      <c r="O8" s="2"/>
    </row>
    <row r="9" spans="1:15" ht="21.75" customHeight="1" x14ac:dyDescent="0.2">
      <c r="A9" s="5">
        <v>6</v>
      </c>
      <c r="B9" s="39"/>
      <c r="C9" s="40"/>
      <c r="D9" s="32"/>
      <c r="E9" s="33"/>
      <c r="F9" s="33"/>
      <c r="G9" s="33"/>
      <c r="H9" s="2"/>
      <c r="I9" s="2"/>
      <c r="J9" s="2"/>
      <c r="K9" s="2"/>
      <c r="L9" s="2"/>
      <c r="M9" s="2"/>
      <c r="N9" s="2"/>
      <c r="O9" s="2"/>
    </row>
    <row r="10" spans="1:15" ht="18.75" customHeight="1" x14ac:dyDescent="0.2">
      <c r="A10" s="5">
        <v>7</v>
      </c>
      <c r="B10" s="39"/>
      <c r="C10" s="40"/>
      <c r="D10" s="32"/>
      <c r="E10" s="33"/>
      <c r="F10" s="33"/>
      <c r="G10" s="33"/>
      <c r="H10" s="2"/>
      <c r="I10" s="2"/>
      <c r="J10" s="2"/>
      <c r="K10" s="2"/>
      <c r="L10" s="2"/>
      <c r="M10" s="2"/>
      <c r="N10" s="2"/>
      <c r="O10" s="2"/>
    </row>
    <row r="11" spans="1:15" ht="18.75" customHeight="1" x14ac:dyDescent="0.2">
      <c r="A11" s="5">
        <v>8</v>
      </c>
      <c r="B11" s="39"/>
      <c r="C11" s="40"/>
      <c r="D11" s="32"/>
      <c r="E11" s="33"/>
      <c r="F11" s="33"/>
      <c r="G11" s="33"/>
      <c r="H11" s="2"/>
      <c r="I11" s="2"/>
      <c r="J11" s="2"/>
      <c r="K11" s="2"/>
      <c r="L11" s="2"/>
      <c r="M11" s="2"/>
      <c r="N11" s="2"/>
      <c r="O11" s="2"/>
    </row>
    <row r="12" spans="1:15" ht="18.75" customHeight="1" x14ac:dyDescent="0.2">
      <c r="A12" s="5">
        <v>9</v>
      </c>
      <c r="B12" s="39"/>
      <c r="C12" s="40"/>
      <c r="D12" s="32"/>
      <c r="E12" s="33"/>
      <c r="F12" s="33"/>
      <c r="G12" s="33"/>
      <c r="H12" s="2"/>
      <c r="I12" s="2"/>
      <c r="J12" s="2"/>
      <c r="K12" s="2"/>
      <c r="L12" s="2"/>
      <c r="M12" s="2"/>
      <c r="N12" s="2"/>
      <c r="O12" s="2"/>
    </row>
    <row r="13" spans="1:15" ht="18.75" customHeight="1" x14ac:dyDescent="0.2">
      <c r="A13" s="5">
        <v>10</v>
      </c>
      <c r="B13" s="39"/>
      <c r="C13" s="31"/>
      <c r="D13" s="32"/>
      <c r="E13" s="33"/>
      <c r="F13" s="33"/>
      <c r="G13" s="33"/>
      <c r="H13" s="2"/>
      <c r="I13" s="2"/>
      <c r="J13" s="2"/>
      <c r="K13" s="2"/>
      <c r="L13" s="2"/>
      <c r="M13" s="2"/>
      <c r="N13" s="2"/>
      <c r="O13" s="2"/>
    </row>
    <row r="14" spans="1:15" ht="18.75" customHeight="1" x14ac:dyDescent="0.2">
      <c r="A14" s="5">
        <v>11</v>
      </c>
      <c r="B14" s="39"/>
      <c r="C14" s="31"/>
      <c r="D14" s="32"/>
      <c r="E14" s="33"/>
      <c r="F14" s="33"/>
      <c r="G14" s="33"/>
      <c r="H14" s="2"/>
      <c r="I14" s="2"/>
      <c r="J14" s="2"/>
      <c r="K14" s="2"/>
      <c r="L14" s="2"/>
      <c r="M14" s="2"/>
      <c r="N14" s="2"/>
      <c r="O14" s="2"/>
    </row>
    <row r="15" spans="1:15" ht="18.75" customHeight="1" x14ac:dyDescent="0.2">
      <c r="A15" s="5">
        <v>12</v>
      </c>
      <c r="B15" s="39"/>
      <c r="C15" s="31"/>
      <c r="D15" s="32"/>
      <c r="E15" s="33"/>
      <c r="F15" s="33"/>
      <c r="G15" s="33"/>
      <c r="H15" s="2"/>
      <c r="I15" s="2"/>
      <c r="J15" s="2"/>
      <c r="K15" s="2"/>
      <c r="L15" s="2"/>
      <c r="M15" s="2"/>
      <c r="N15" s="2"/>
      <c r="O15" s="2"/>
    </row>
    <row r="16" spans="1:15" ht="18.75" customHeight="1" x14ac:dyDescent="0.2">
      <c r="A16" s="5">
        <v>13</v>
      </c>
      <c r="B16" s="39"/>
      <c r="C16" s="31"/>
      <c r="D16" s="32"/>
      <c r="E16" s="33"/>
      <c r="F16" s="33"/>
      <c r="G16" s="33"/>
      <c r="H16" s="2"/>
      <c r="I16" s="2"/>
      <c r="J16" s="2"/>
      <c r="K16" s="2"/>
      <c r="L16" s="2"/>
      <c r="M16" s="2"/>
      <c r="N16" s="2"/>
      <c r="O16" s="2"/>
    </row>
    <row r="17" spans="1:15" ht="18.75" customHeight="1" x14ac:dyDescent="0.2">
      <c r="A17" s="5">
        <v>14</v>
      </c>
      <c r="B17" s="39"/>
      <c r="C17" s="31"/>
      <c r="D17" s="32"/>
      <c r="E17" s="33"/>
      <c r="F17" s="33"/>
      <c r="G17" s="33"/>
      <c r="H17" s="2"/>
      <c r="I17" s="2"/>
      <c r="J17" s="2"/>
      <c r="K17" s="2"/>
      <c r="L17" s="2"/>
      <c r="M17" s="2"/>
      <c r="N17" s="2"/>
      <c r="O17" s="2"/>
    </row>
    <row r="18" spans="1:15" ht="18.75" customHeight="1" x14ac:dyDescent="0.2">
      <c r="A18" s="5">
        <v>15</v>
      </c>
      <c r="B18" s="39"/>
      <c r="C18" s="31"/>
      <c r="D18" s="32"/>
      <c r="E18" s="33"/>
      <c r="F18" s="33"/>
      <c r="G18" s="33"/>
    </row>
    <row r="19" spans="1:15" ht="19.5" customHeight="1" x14ac:dyDescent="0.2">
      <c r="A19" s="5">
        <v>16</v>
      </c>
      <c r="B19" s="39"/>
      <c r="C19" s="31"/>
      <c r="D19" s="32"/>
      <c r="E19" s="33"/>
      <c r="F19" s="33"/>
      <c r="G19" s="33"/>
    </row>
    <row r="20" spans="1:15" ht="19.5" customHeight="1" x14ac:dyDescent="0.2">
      <c r="A20" s="5">
        <v>17</v>
      </c>
      <c r="B20" s="39"/>
      <c r="C20" s="31"/>
      <c r="D20" s="32"/>
      <c r="E20" s="33"/>
      <c r="F20" s="33"/>
      <c r="G20" s="33"/>
    </row>
    <row r="21" spans="1:15" ht="19.5" customHeight="1" x14ac:dyDescent="0.2">
      <c r="A21" s="5">
        <v>18</v>
      </c>
      <c r="B21" s="39"/>
      <c r="C21" s="31"/>
      <c r="D21" s="32"/>
      <c r="E21" s="33"/>
      <c r="F21" s="33"/>
      <c r="G21" s="33"/>
    </row>
    <row r="22" spans="1:15" ht="19.5" customHeight="1" x14ac:dyDescent="0.2">
      <c r="A22" s="5">
        <v>19</v>
      </c>
      <c r="B22" s="39"/>
      <c r="C22" s="31"/>
      <c r="D22" s="32"/>
      <c r="E22" s="33"/>
      <c r="F22" s="33"/>
      <c r="G22" s="33"/>
    </row>
    <row r="23" spans="1:15" ht="19.5" customHeight="1" x14ac:dyDescent="0.2">
      <c r="A23" s="5">
        <v>20</v>
      </c>
      <c r="B23" s="39"/>
      <c r="C23" s="31"/>
      <c r="D23" s="32"/>
      <c r="E23" s="33"/>
      <c r="F23" s="33"/>
      <c r="G23" s="33"/>
    </row>
    <row r="24" spans="1:15" ht="19.5" customHeight="1" x14ac:dyDescent="0.2">
      <c r="A24" s="5">
        <v>21</v>
      </c>
      <c r="B24" s="39"/>
      <c r="C24" s="31"/>
      <c r="D24" s="32"/>
      <c r="E24" s="33"/>
      <c r="F24" s="33"/>
      <c r="G24" s="33"/>
    </row>
    <row r="25" spans="1:15" ht="19.5" customHeight="1" x14ac:dyDescent="0.2">
      <c r="A25" s="5">
        <v>22</v>
      </c>
      <c r="B25" s="39"/>
      <c r="C25" s="31"/>
      <c r="D25" s="32"/>
      <c r="E25" s="33"/>
      <c r="F25" s="33"/>
      <c r="G25" s="33"/>
    </row>
    <row r="26" spans="1:15" ht="19.5" customHeight="1" x14ac:dyDescent="0.2">
      <c r="A26" s="5">
        <v>23</v>
      </c>
      <c r="B26" s="39"/>
      <c r="C26" s="31"/>
      <c r="D26" s="32"/>
      <c r="E26" s="33"/>
      <c r="F26" s="33"/>
      <c r="G26" s="33"/>
    </row>
    <row r="27" spans="1:15" ht="19.5" customHeight="1" x14ac:dyDescent="0.2">
      <c r="A27" s="5">
        <v>24</v>
      </c>
      <c r="B27" s="39"/>
      <c r="C27" s="31"/>
      <c r="D27" s="32"/>
      <c r="E27" s="33"/>
      <c r="F27" s="33"/>
      <c r="G27" s="33"/>
    </row>
    <row r="28" spans="1:15" ht="19.5" customHeight="1" x14ac:dyDescent="0.2">
      <c r="A28" s="5">
        <v>25</v>
      </c>
      <c r="B28" s="39"/>
      <c r="C28" s="31"/>
      <c r="D28" s="32"/>
      <c r="E28" s="33"/>
      <c r="F28" s="33"/>
      <c r="G28" s="33"/>
    </row>
    <row r="29" spans="1:15" ht="19.5" customHeight="1" x14ac:dyDescent="0.2">
      <c r="A29" s="5">
        <v>26</v>
      </c>
      <c r="B29" s="39"/>
      <c r="C29" s="31"/>
      <c r="D29" s="32"/>
      <c r="E29" s="33"/>
      <c r="F29" s="33"/>
      <c r="G29" s="33"/>
    </row>
    <row r="30" spans="1:15" ht="19.5" customHeight="1" x14ac:dyDescent="0.2">
      <c r="A30" s="5">
        <v>27</v>
      </c>
      <c r="B30" s="39"/>
      <c r="C30" s="31"/>
      <c r="D30" s="32"/>
      <c r="E30" s="33"/>
      <c r="F30" s="33"/>
      <c r="G30" s="33"/>
    </row>
    <row r="31" spans="1:15" ht="18" customHeight="1" x14ac:dyDescent="0.2">
      <c r="A31" s="5">
        <v>28</v>
      </c>
      <c r="B31" s="39"/>
      <c r="C31" s="31"/>
      <c r="D31" s="32"/>
      <c r="E31" s="33"/>
      <c r="F31" s="33"/>
      <c r="G31" s="33"/>
    </row>
    <row r="32" spans="1:15" ht="18" customHeight="1" x14ac:dyDescent="0.2">
      <c r="A32" s="5">
        <v>29</v>
      </c>
      <c r="B32" s="39"/>
      <c r="C32" s="31"/>
      <c r="D32" s="32"/>
      <c r="E32" s="33"/>
      <c r="F32" s="33"/>
      <c r="G32" s="33"/>
    </row>
    <row r="33" spans="1:7" ht="18" customHeight="1" x14ac:dyDescent="0.2">
      <c r="A33" s="5">
        <v>30</v>
      </c>
      <c r="B33" s="39"/>
      <c r="C33" s="31"/>
      <c r="D33" s="32"/>
      <c r="E33" s="33"/>
      <c r="F33" s="33"/>
      <c r="G33" s="33"/>
    </row>
    <row r="34" spans="1:7" ht="18" customHeight="1" x14ac:dyDescent="0.2">
      <c r="A34" s="5">
        <v>31</v>
      </c>
      <c r="B34" s="39"/>
      <c r="C34" s="31"/>
      <c r="D34" s="32"/>
      <c r="E34" s="33"/>
      <c r="F34" s="33"/>
      <c r="G34" s="33"/>
    </row>
    <row r="35" spans="1:7" ht="19.5" customHeight="1" x14ac:dyDescent="0.2">
      <c r="A35" s="5">
        <v>32</v>
      </c>
      <c r="B35" s="39"/>
      <c r="C35" s="31"/>
      <c r="D35" s="32"/>
      <c r="E35" s="33"/>
      <c r="F35" s="33"/>
      <c r="G35" s="33"/>
    </row>
    <row r="36" spans="1:7" ht="19.5" customHeight="1" x14ac:dyDescent="0.2">
      <c r="A36" s="5">
        <v>33</v>
      </c>
      <c r="B36" s="39"/>
      <c r="C36" s="31"/>
      <c r="D36" s="32"/>
      <c r="E36" s="33"/>
      <c r="F36" s="33"/>
      <c r="G36" s="33"/>
    </row>
    <row r="37" spans="1:7" ht="19.5" customHeight="1" x14ac:dyDescent="0.2">
      <c r="A37" s="5">
        <v>34</v>
      </c>
      <c r="B37" s="39"/>
      <c r="C37" s="31"/>
      <c r="D37" s="32"/>
      <c r="E37" s="33"/>
      <c r="F37" s="33"/>
      <c r="G37" s="33"/>
    </row>
    <row r="38" spans="1:7" ht="19.5" customHeight="1" x14ac:dyDescent="0.2">
      <c r="A38" s="5">
        <v>35</v>
      </c>
      <c r="B38" s="39"/>
      <c r="C38" s="31"/>
      <c r="D38" s="32"/>
      <c r="E38" s="33"/>
      <c r="F38" s="33"/>
      <c r="G38" s="33"/>
    </row>
    <row r="39" spans="1:7" ht="19.5" customHeight="1" x14ac:dyDescent="0.2">
      <c r="A39" s="5">
        <v>36</v>
      </c>
      <c r="B39" s="39"/>
      <c r="C39" s="31"/>
      <c r="D39" s="32"/>
      <c r="E39" s="33"/>
      <c r="F39" s="33"/>
      <c r="G39" s="33"/>
    </row>
    <row r="40" spans="1:7" ht="19.5" customHeight="1" x14ac:dyDescent="0.2">
      <c r="A40" s="5">
        <v>37</v>
      </c>
      <c r="B40" s="39"/>
      <c r="C40" s="31"/>
      <c r="D40" s="32"/>
      <c r="E40" s="33"/>
      <c r="F40" s="33"/>
      <c r="G40" s="33"/>
    </row>
    <row r="41" spans="1:7" ht="19.5" customHeight="1" x14ac:dyDescent="0.2">
      <c r="A41" s="5">
        <v>38</v>
      </c>
      <c r="B41" s="39"/>
      <c r="C41" s="31"/>
      <c r="D41" s="32"/>
      <c r="E41" s="33"/>
      <c r="F41" s="33"/>
      <c r="G41" s="33"/>
    </row>
    <row r="42" spans="1:7" ht="19.5" customHeight="1" x14ac:dyDescent="0.2">
      <c r="A42" s="5">
        <v>39</v>
      </c>
      <c r="B42" s="39"/>
      <c r="C42" s="31"/>
      <c r="D42" s="32"/>
      <c r="E42" s="33"/>
      <c r="F42" s="33"/>
      <c r="G42" s="33"/>
    </row>
    <row r="43" spans="1:7" ht="19.5" customHeight="1" x14ac:dyDescent="0.2">
      <c r="A43" s="5">
        <v>40</v>
      </c>
      <c r="B43" s="39"/>
      <c r="C43" s="31"/>
      <c r="D43" s="32"/>
      <c r="E43" s="33"/>
      <c r="F43" s="33"/>
      <c r="G43" s="33"/>
    </row>
    <row r="44" spans="1:7" ht="19.5" customHeight="1" x14ac:dyDescent="0.2">
      <c r="A44" s="5">
        <v>41</v>
      </c>
      <c r="B44" s="39"/>
      <c r="C44" s="31"/>
      <c r="D44" s="32"/>
      <c r="E44" s="33"/>
      <c r="F44" s="33"/>
      <c r="G44" s="33"/>
    </row>
    <row r="45" spans="1:7" ht="19.5" customHeight="1" x14ac:dyDescent="0.2">
      <c r="A45" s="5">
        <v>42</v>
      </c>
      <c r="B45" s="39"/>
      <c r="C45" s="31"/>
      <c r="D45" s="32"/>
      <c r="E45" s="33"/>
      <c r="F45" s="33"/>
      <c r="G45" s="33"/>
    </row>
    <row r="46" spans="1:7" ht="19.5" customHeight="1" x14ac:dyDescent="0.2">
      <c r="A46" s="5">
        <v>43</v>
      </c>
      <c r="B46" s="39"/>
      <c r="C46" s="31"/>
      <c r="D46" s="32"/>
      <c r="E46" s="33"/>
      <c r="F46" s="33"/>
      <c r="G46" s="33"/>
    </row>
    <row r="47" spans="1:7" ht="19.5" customHeight="1" x14ac:dyDescent="0.2">
      <c r="A47" s="5">
        <v>44</v>
      </c>
      <c r="B47" s="39"/>
      <c r="C47" s="31"/>
      <c r="D47" s="32"/>
      <c r="E47" s="33"/>
      <c r="F47" s="33"/>
      <c r="G47" s="33"/>
    </row>
    <row r="48" spans="1:7" ht="19.5" customHeight="1" x14ac:dyDescent="0.2">
      <c r="A48" s="5">
        <v>45</v>
      </c>
      <c r="B48" s="39"/>
      <c r="C48" s="31"/>
      <c r="D48" s="32"/>
      <c r="E48" s="33"/>
      <c r="F48" s="33"/>
      <c r="G48" s="33"/>
    </row>
    <row r="49" spans="1:7" ht="19.5" customHeight="1" x14ac:dyDescent="0.2">
      <c r="A49" s="5">
        <v>46</v>
      </c>
      <c r="B49" s="39"/>
      <c r="C49" s="31"/>
      <c r="D49" s="32"/>
      <c r="E49" s="33"/>
      <c r="F49" s="33"/>
      <c r="G49" s="33"/>
    </row>
    <row r="50" spans="1:7" ht="19.5" customHeight="1" x14ac:dyDescent="0.2">
      <c r="A50" s="5">
        <v>47</v>
      </c>
      <c r="B50" s="39"/>
      <c r="C50" s="31"/>
      <c r="D50" s="32"/>
      <c r="E50" s="33"/>
      <c r="F50" s="33"/>
      <c r="G50" s="33"/>
    </row>
    <row r="51" spans="1:7" ht="19.5" customHeight="1" x14ac:dyDescent="0.2">
      <c r="A51" s="5">
        <v>48</v>
      </c>
      <c r="B51" s="39"/>
      <c r="C51" s="31"/>
      <c r="D51" s="32"/>
      <c r="E51" s="33"/>
      <c r="F51" s="33"/>
      <c r="G51" s="33"/>
    </row>
    <row r="52" spans="1:7" ht="19.5" customHeight="1" x14ac:dyDescent="0.2">
      <c r="A52" s="5">
        <v>49</v>
      </c>
      <c r="B52" s="39"/>
      <c r="C52" s="31"/>
      <c r="D52" s="32"/>
      <c r="E52" s="33"/>
      <c r="F52" s="33"/>
      <c r="G52" s="33"/>
    </row>
    <row r="53" spans="1:7" ht="19.5" customHeight="1" x14ac:dyDescent="0.2">
      <c r="A53" s="5">
        <v>50</v>
      </c>
      <c r="B53" s="39"/>
      <c r="C53" s="31"/>
      <c r="D53" s="32"/>
      <c r="E53" s="33"/>
      <c r="F53" s="33"/>
      <c r="G53" s="33"/>
    </row>
    <row r="54" spans="1:7" ht="19.5" customHeight="1" x14ac:dyDescent="0.2">
      <c r="A54" s="5">
        <v>51</v>
      </c>
      <c r="B54" s="39"/>
      <c r="C54" s="31"/>
      <c r="D54" s="32"/>
      <c r="E54" s="33"/>
      <c r="F54" s="33"/>
      <c r="G54" s="33"/>
    </row>
    <row r="55" spans="1:7" ht="19.5" customHeight="1" x14ac:dyDescent="0.2">
      <c r="A55" s="5">
        <v>52</v>
      </c>
      <c r="B55" s="39"/>
      <c r="C55" s="31"/>
      <c r="D55" s="32"/>
      <c r="E55" s="33"/>
      <c r="F55" s="33"/>
      <c r="G55" s="33"/>
    </row>
    <row r="56" spans="1:7" ht="19.5" customHeight="1" x14ac:dyDescent="0.2">
      <c r="A56" s="5">
        <v>53</v>
      </c>
      <c r="B56" s="39"/>
      <c r="C56" s="31"/>
      <c r="D56" s="32"/>
      <c r="E56" s="33"/>
      <c r="F56" s="33"/>
      <c r="G56" s="33"/>
    </row>
    <row r="57" spans="1:7" ht="19.5" customHeight="1" x14ac:dyDescent="0.2">
      <c r="A57" s="5">
        <v>54</v>
      </c>
      <c r="B57" s="39"/>
      <c r="C57" s="31"/>
      <c r="D57" s="32"/>
      <c r="E57" s="33"/>
      <c r="F57" s="33"/>
      <c r="G57" s="33"/>
    </row>
    <row r="58" spans="1:7" ht="19.5" customHeight="1" x14ac:dyDescent="0.2">
      <c r="A58" s="5">
        <v>55</v>
      </c>
      <c r="B58" s="39"/>
      <c r="C58" s="31"/>
      <c r="D58" s="32"/>
      <c r="E58" s="33"/>
      <c r="F58" s="33"/>
      <c r="G58" s="33"/>
    </row>
    <row r="59" spans="1:7" ht="19.5" customHeight="1" x14ac:dyDescent="0.2">
      <c r="A59" s="5">
        <v>56</v>
      </c>
      <c r="B59" s="39"/>
      <c r="C59" s="31"/>
      <c r="D59" s="32"/>
      <c r="E59" s="33"/>
      <c r="F59" s="33"/>
      <c r="G59" s="33"/>
    </row>
    <row r="60" spans="1:7" ht="19.5" customHeight="1" x14ac:dyDescent="0.2">
      <c r="A60" s="5">
        <v>57</v>
      </c>
      <c r="B60" s="39"/>
      <c r="C60" s="31"/>
      <c r="D60" s="32"/>
      <c r="E60" s="33"/>
      <c r="F60" s="33"/>
      <c r="G60" s="33"/>
    </row>
    <row r="61" spans="1:7" ht="19.5" customHeight="1" x14ac:dyDescent="0.2">
      <c r="A61" s="5">
        <v>58</v>
      </c>
      <c r="B61" s="39"/>
      <c r="C61" s="31"/>
      <c r="D61" s="32"/>
      <c r="E61" s="33"/>
      <c r="F61" s="33"/>
      <c r="G61" s="33"/>
    </row>
    <row r="62" spans="1:7" ht="19.5" customHeight="1" x14ac:dyDescent="0.2">
      <c r="A62" s="5">
        <v>59</v>
      </c>
      <c r="B62" s="39"/>
      <c r="C62" s="31"/>
      <c r="D62" s="32"/>
      <c r="E62" s="33"/>
      <c r="F62" s="33"/>
      <c r="G62" s="33"/>
    </row>
    <row r="63" spans="1:7" ht="19.5" customHeight="1" x14ac:dyDescent="0.2">
      <c r="A63" s="5">
        <v>60</v>
      </c>
      <c r="B63" s="39"/>
      <c r="C63" s="31"/>
      <c r="D63" s="32"/>
      <c r="E63" s="33"/>
      <c r="F63" s="33"/>
      <c r="G63" s="33"/>
    </row>
    <row r="64" spans="1:7" ht="19.5" customHeight="1" x14ac:dyDescent="0.2">
      <c r="A64" s="5">
        <v>61</v>
      </c>
      <c r="B64" s="39"/>
      <c r="C64" s="31"/>
      <c r="D64" s="32"/>
      <c r="E64" s="33"/>
      <c r="F64" s="33"/>
      <c r="G64" s="33"/>
    </row>
    <row r="65" spans="1:7" ht="19.5" customHeight="1" x14ac:dyDescent="0.2">
      <c r="A65" s="5">
        <v>62</v>
      </c>
      <c r="B65" s="39"/>
      <c r="C65" s="31"/>
      <c r="D65" s="32"/>
      <c r="E65" s="33"/>
      <c r="F65" s="33"/>
      <c r="G65" s="33"/>
    </row>
    <row r="66" spans="1:7" ht="19.5" customHeight="1" x14ac:dyDescent="0.2">
      <c r="A66" s="5">
        <v>63</v>
      </c>
      <c r="B66" s="39"/>
      <c r="C66" s="31"/>
      <c r="D66" s="32"/>
      <c r="E66" s="33"/>
      <c r="F66" s="33"/>
      <c r="G66" s="33"/>
    </row>
    <row r="67" spans="1:7" ht="19.5" customHeight="1" x14ac:dyDescent="0.2">
      <c r="A67" s="5">
        <v>64</v>
      </c>
      <c r="B67" s="39"/>
      <c r="C67" s="31"/>
      <c r="D67" s="32"/>
      <c r="E67" s="33"/>
      <c r="F67" s="33"/>
      <c r="G67" s="33"/>
    </row>
    <row r="68" spans="1:7" ht="19.5" customHeight="1" x14ac:dyDescent="0.2">
      <c r="A68" s="5">
        <v>65</v>
      </c>
      <c r="B68" s="39"/>
      <c r="C68" s="31"/>
      <c r="D68" s="32"/>
      <c r="E68" s="33"/>
      <c r="F68" s="33"/>
      <c r="G68" s="33"/>
    </row>
    <row r="69" spans="1:7" ht="19.5" customHeight="1" x14ac:dyDescent="0.2">
      <c r="A69" s="5">
        <v>66</v>
      </c>
      <c r="B69" s="39"/>
      <c r="C69" s="31"/>
      <c r="D69" s="32"/>
      <c r="E69" s="33"/>
      <c r="F69" s="33"/>
      <c r="G69" s="33"/>
    </row>
    <row r="70" spans="1:7" ht="19.5" customHeight="1" x14ac:dyDescent="0.2">
      <c r="A70" s="5">
        <v>67</v>
      </c>
      <c r="B70" s="39"/>
      <c r="C70" s="31"/>
      <c r="D70" s="32"/>
      <c r="E70" s="33"/>
      <c r="F70" s="33"/>
      <c r="G70" s="33"/>
    </row>
    <row r="71" spans="1:7" ht="19.5" customHeight="1" x14ac:dyDescent="0.2">
      <c r="A71" s="5">
        <v>68</v>
      </c>
      <c r="B71" s="39"/>
      <c r="C71" s="31"/>
      <c r="D71" s="32"/>
      <c r="E71" s="33"/>
      <c r="F71" s="33"/>
      <c r="G71" s="33"/>
    </row>
    <row r="72" spans="1:7" ht="19.5" customHeight="1" x14ac:dyDescent="0.2">
      <c r="A72" s="5">
        <v>69</v>
      </c>
      <c r="B72" s="39"/>
      <c r="C72" s="31"/>
      <c r="D72" s="32"/>
      <c r="E72" s="33"/>
      <c r="F72" s="33"/>
      <c r="G72" s="33"/>
    </row>
    <row r="73" spans="1:7" ht="19.5" customHeight="1" x14ac:dyDescent="0.2">
      <c r="A73" s="5">
        <v>70</v>
      </c>
      <c r="B73" s="39"/>
      <c r="C73" s="31"/>
      <c r="D73" s="32"/>
      <c r="E73" s="33"/>
      <c r="F73" s="33"/>
      <c r="G73" s="33"/>
    </row>
    <row r="74" spans="1:7" ht="19.5" customHeight="1" x14ac:dyDescent="0.2">
      <c r="A74" s="5">
        <v>71</v>
      </c>
      <c r="B74" s="39"/>
      <c r="C74" s="31"/>
      <c r="D74" s="32"/>
      <c r="E74" s="33"/>
      <c r="F74" s="33"/>
      <c r="G74" s="33"/>
    </row>
    <row r="75" spans="1:7" ht="19.5" customHeight="1" x14ac:dyDescent="0.2">
      <c r="A75" s="5">
        <v>72</v>
      </c>
      <c r="B75" s="39"/>
      <c r="C75" s="31"/>
      <c r="D75" s="32"/>
      <c r="E75" s="33"/>
      <c r="F75" s="33"/>
      <c r="G75" s="33"/>
    </row>
    <row r="76" spans="1:7" ht="19.5" customHeight="1" x14ac:dyDescent="0.2">
      <c r="A76" s="5">
        <v>73</v>
      </c>
      <c r="B76" s="39"/>
      <c r="C76" s="31"/>
      <c r="D76" s="32"/>
      <c r="E76" s="33"/>
      <c r="F76" s="33"/>
      <c r="G76" s="33"/>
    </row>
    <row r="77" spans="1:7" ht="19.5" customHeight="1" x14ac:dyDescent="0.2">
      <c r="A77" s="5">
        <v>74</v>
      </c>
      <c r="B77" s="39"/>
      <c r="C77" s="31"/>
      <c r="D77" s="32"/>
      <c r="E77" s="33"/>
      <c r="F77" s="33"/>
      <c r="G77" s="33"/>
    </row>
    <row r="78" spans="1:7" ht="19.5" customHeight="1" x14ac:dyDescent="0.2">
      <c r="A78" s="5">
        <v>75</v>
      </c>
      <c r="B78" s="39"/>
      <c r="C78" s="31"/>
      <c r="D78" s="32"/>
      <c r="E78" s="33"/>
      <c r="F78" s="33"/>
      <c r="G78" s="33"/>
    </row>
    <row r="79" spans="1:7" ht="19.5" customHeight="1" x14ac:dyDescent="0.2">
      <c r="A79" s="5">
        <v>76</v>
      </c>
      <c r="B79" s="39"/>
      <c r="C79" s="31"/>
      <c r="D79" s="32"/>
      <c r="E79" s="33"/>
      <c r="F79" s="33"/>
      <c r="G79" s="33"/>
    </row>
    <row r="80" spans="1:7" ht="19.5" customHeight="1" x14ac:dyDescent="0.2">
      <c r="A80" s="5">
        <v>77</v>
      </c>
      <c r="B80" s="39"/>
      <c r="C80" s="31"/>
      <c r="D80" s="32"/>
      <c r="E80" s="33"/>
      <c r="F80" s="33"/>
      <c r="G80" s="33"/>
    </row>
    <row r="81" spans="1:7" ht="19.5" customHeight="1" x14ac:dyDescent="0.2">
      <c r="A81" s="5">
        <v>78</v>
      </c>
      <c r="B81" s="39"/>
      <c r="C81" s="31"/>
      <c r="D81" s="32"/>
      <c r="E81" s="33"/>
      <c r="F81" s="33"/>
      <c r="G81" s="33"/>
    </row>
    <row r="82" spans="1:7" ht="19.5" customHeight="1" x14ac:dyDescent="0.2">
      <c r="A82" s="5">
        <v>79</v>
      </c>
      <c r="B82" s="39"/>
      <c r="C82" s="31"/>
      <c r="D82" s="32"/>
      <c r="E82" s="33"/>
      <c r="F82" s="33"/>
      <c r="G82" s="33"/>
    </row>
    <row r="83" spans="1:7" ht="19.5" customHeight="1" x14ac:dyDescent="0.2">
      <c r="A83" s="5">
        <v>80</v>
      </c>
      <c r="B83" s="39"/>
      <c r="C83" s="31"/>
      <c r="D83" s="32"/>
      <c r="E83" s="33"/>
      <c r="F83" s="33"/>
      <c r="G83" s="33"/>
    </row>
    <row r="84" spans="1:7" ht="19.5" customHeight="1" x14ac:dyDescent="0.2">
      <c r="A84" s="5">
        <v>81</v>
      </c>
      <c r="B84" s="39"/>
      <c r="C84" s="31"/>
      <c r="D84" s="32"/>
      <c r="E84" s="33"/>
      <c r="F84" s="33"/>
      <c r="G84" s="33"/>
    </row>
    <row r="85" spans="1:7" ht="19.5" customHeight="1" x14ac:dyDescent="0.2">
      <c r="A85" s="5">
        <v>82</v>
      </c>
      <c r="B85" s="39"/>
      <c r="C85" s="31"/>
      <c r="D85" s="32"/>
      <c r="E85" s="33"/>
      <c r="F85" s="33"/>
      <c r="G85" s="33"/>
    </row>
    <row r="86" spans="1:7" ht="19.5" customHeight="1" x14ac:dyDescent="0.2">
      <c r="A86" s="5">
        <v>83</v>
      </c>
      <c r="B86" s="39"/>
      <c r="C86" s="31"/>
      <c r="D86" s="32"/>
      <c r="E86" s="33"/>
      <c r="F86" s="33"/>
      <c r="G86" s="33"/>
    </row>
    <row r="87" spans="1:7" ht="19.5" customHeight="1" x14ac:dyDescent="0.2">
      <c r="A87" s="5">
        <v>84</v>
      </c>
      <c r="B87" s="39"/>
      <c r="C87" s="31"/>
      <c r="D87" s="32"/>
      <c r="E87" s="33"/>
      <c r="F87" s="33"/>
      <c r="G87" s="33"/>
    </row>
    <row r="88" spans="1:7" ht="19.5" customHeight="1" x14ac:dyDescent="0.2">
      <c r="A88" s="5">
        <v>85</v>
      </c>
      <c r="B88" s="39"/>
      <c r="C88" s="31"/>
      <c r="D88" s="32"/>
      <c r="E88" s="33"/>
      <c r="F88" s="33"/>
      <c r="G88" s="33"/>
    </row>
    <row r="89" spans="1:7" ht="19.5" customHeight="1" x14ac:dyDescent="0.2">
      <c r="A89" s="5">
        <v>86</v>
      </c>
      <c r="B89" s="39"/>
      <c r="C89" s="31"/>
      <c r="D89" s="32"/>
      <c r="E89" s="33"/>
      <c r="F89" s="33"/>
      <c r="G89" s="33"/>
    </row>
    <row r="90" spans="1:7" ht="19.5" customHeight="1" x14ac:dyDescent="0.2">
      <c r="A90" s="5">
        <v>87</v>
      </c>
      <c r="B90" s="39"/>
      <c r="C90" s="31"/>
      <c r="D90" s="32"/>
      <c r="E90" s="33"/>
      <c r="F90" s="33"/>
      <c r="G90" s="33"/>
    </row>
    <row r="91" spans="1:7" ht="19.5" customHeight="1" x14ac:dyDescent="0.2">
      <c r="A91" s="5">
        <v>88</v>
      </c>
      <c r="B91" s="39"/>
      <c r="C91" s="31"/>
      <c r="D91" s="32"/>
      <c r="E91" s="33"/>
      <c r="F91" s="33"/>
      <c r="G91" s="33"/>
    </row>
    <row r="92" spans="1:7" ht="19.5" customHeight="1" x14ac:dyDescent="0.2">
      <c r="A92" s="5">
        <v>89</v>
      </c>
      <c r="B92" s="39"/>
      <c r="C92" s="31"/>
      <c r="D92" s="32"/>
      <c r="E92" s="33"/>
      <c r="F92" s="33"/>
      <c r="G92" s="33"/>
    </row>
    <row r="93" spans="1:7" ht="19.5" customHeight="1" x14ac:dyDescent="0.2">
      <c r="A93" s="5">
        <v>90</v>
      </c>
      <c r="B93" s="39"/>
      <c r="C93" s="31"/>
      <c r="D93" s="32"/>
      <c r="E93" s="33"/>
      <c r="F93" s="33"/>
      <c r="G93" s="33"/>
    </row>
    <row r="94" spans="1:7" ht="19.5" customHeight="1" x14ac:dyDescent="0.2">
      <c r="A94" s="5">
        <v>91</v>
      </c>
      <c r="B94" s="39"/>
      <c r="C94" s="31"/>
      <c r="D94" s="32"/>
      <c r="E94" s="33"/>
      <c r="F94" s="33"/>
      <c r="G94" s="33"/>
    </row>
    <row r="95" spans="1:7" ht="19.5" customHeight="1" x14ac:dyDescent="0.2">
      <c r="A95" s="5">
        <v>92</v>
      </c>
      <c r="B95" s="39"/>
      <c r="C95" s="31"/>
      <c r="D95" s="32"/>
      <c r="E95" s="33"/>
      <c r="F95" s="33"/>
      <c r="G95" s="33"/>
    </row>
    <row r="96" spans="1:7" ht="19.5" customHeight="1" x14ac:dyDescent="0.2">
      <c r="A96" s="5">
        <v>93</v>
      </c>
      <c r="B96" s="39"/>
      <c r="C96" s="31"/>
      <c r="D96" s="32"/>
      <c r="E96" s="33"/>
      <c r="F96" s="33"/>
      <c r="G96" s="33"/>
    </row>
    <row r="97" spans="1:7" ht="19.5" customHeight="1" x14ac:dyDescent="0.2">
      <c r="A97" s="5">
        <v>94</v>
      </c>
      <c r="B97" s="39"/>
      <c r="C97" s="31"/>
      <c r="D97" s="32"/>
      <c r="E97" s="33"/>
      <c r="F97" s="33"/>
      <c r="G97" s="33"/>
    </row>
    <row r="98" spans="1:7" ht="19.5" customHeight="1" x14ac:dyDescent="0.2">
      <c r="A98" s="5">
        <v>95</v>
      </c>
      <c r="B98" s="39"/>
      <c r="C98" s="31"/>
      <c r="D98" s="32"/>
      <c r="E98" s="33"/>
      <c r="F98" s="33"/>
      <c r="G98" s="33"/>
    </row>
    <row r="99" spans="1:7" ht="19.5" customHeight="1" x14ac:dyDescent="0.2">
      <c r="A99" s="5">
        <v>96</v>
      </c>
      <c r="B99" s="39"/>
      <c r="C99" s="31"/>
      <c r="D99" s="32"/>
      <c r="E99" s="33"/>
      <c r="F99" s="33"/>
      <c r="G99" s="33"/>
    </row>
    <row r="100" spans="1:7" ht="19.5" customHeight="1" x14ac:dyDescent="0.2">
      <c r="A100" s="5">
        <v>97</v>
      </c>
      <c r="B100" s="39"/>
      <c r="C100" s="31"/>
      <c r="D100" s="32"/>
      <c r="E100" s="33"/>
      <c r="F100" s="33"/>
      <c r="G100" s="33"/>
    </row>
    <row r="101" spans="1:7" ht="19.5" customHeight="1" x14ac:dyDescent="0.2">
      <c r="A101" s="5">
        <v>98</v>
      </c>
      <c r="B101" s="39"/>
      <c r="C101" s="31"/>
      <c r="D101" s="32"/>
      <c r="E101" s="33"/>
      <c r="F101" s="33"/>
      <c r="G101" s="33"/>
    </row>
    <row r="102" spans="1:7" ht="19.5" customHeight="1" x14ac:dyDescent="0.2">
      <c r="A102" s="5">
        <v>99</v>
      </c>
      <c r="B102" s="39"/>
      <c r="C102" s="31"/>
      <c r="D102" s="32"/>
      <c r="E102" s="33"/>
      <c r="F102" s="33"/>
      <c r="G102" s="33"/>
    </row>
    <row r="103" spans="1:7" ht="19.5" customHeight="1" x14ac:dyDescent="0.2">
      <c r="A103" s="5">
        <v>100</v>
      </c>
      <c r="B103" s="39"/>
      <c r="C103" s="31"/>
      <c r="D103" s="32"/>
      <c r="E103" s="33"/>
      <c r="F103" s="33"/>
      <c r="G103" s="33"/>
    </row>
    <row r="104" spans="1:7" ht="19.5" customHeight="1" x14ac:dyDescent="0.2">
      <c r="A104" s="5">
        <v>101</v>
      </c>
      <c r="B104" s="39"/>
      <c r="C104" s="31"/>
      <c r="D104" s="32"/>
      <c r="E104" s="33"/>
      <c r="F104" s="33"/>
      <c r="G104" s="33"/>
    </row>
    <row r="105" spans="1:7" ht="19.5" customHeight="1" x14ac:dyDescent="0.2">
      <c r="A105" s="5">
        <v>102</v>
      </c>
      <c r="B105" s="39"/>
      <c r="C105" s="31"/>
      <c r="D105" s="32"/>
      <c r="E105" s="33"/>
      <c r="F105" s="33"/>
      <c r="G105" s="33"/>
    </row>
    <row r="106" spans="1:7" ht="19.5" customHeight="1" x14ac:dyDescent="0.2">
      <c r="A106" s="5">
        <v>103</v>
      </c>
      <c r="B106" s="39"/>
      <c r="C106" s="31"/>
      <c r="D106" s="32"/>
      <c r="E106" s="33"/>
      <c r="F106" s="33"/>
      <c r="G106" s="33"/>
    </row>
    <row r="107" spans="1:7" ht="19.5" customHeight="1" x14ac:dyDescent="0.2">
      <c r="A107" s="5">
        <v>104</v>
      </c>
      <c r="B107" s="39"/>
      <c r="C107" s="31"/>
      <c r="D107" s="32"/>
      <c r="E107" s="33"/>
      <c r="F107" s="33"/>
      <c r="G107" s="33"/>
    </row>
    <row r="108" spans="1:7" ht="19.5" customHeight="1" x14ac:dyDescent="0.2">
      <c r="A108" s="5">
        <v>105</v>
      </c>
      <c r="B108" s="39"/>
      <c r="C108" s="31"/>
      <c r="D108" s="32"/>
      <c r="E108" s="33"/>
      <c r="F108" s="33"/>
      <c r="G108" s="33"/>
    </row>
    <row r="109" spans="1:7" ht="19.5" customHeight="1" x14ac:dyDescent="0.2">
      <c r="A109" s="5">
        <v>106</v>
      </c>
      <c r="B109" s="39"/>
      <c r="C109" s="31"/>
      <c r="D109" s="32"/>
      <c r="E109" s="33"/>
      <c r="F109" s="33"/>
      <c r="G109" s="33"/>
    </row>
    <row r="110" spans="1:7" ht="19.5" customHeight="1" x14ac:dyDescent="0.2">
      <c r="A110" s="5">
        <v>107</v>
      </c>
      <c r="B110" s="39"/>
      <c r="C110" s="31"/>
      <c r="D110" s="32"/>
      <c r="E110" s="33"/>
      <c r="F110" s="33"/>
      <c r="G110" s="33"/>
    </row>
    <row r="111" spans="1:7" ht="19.5" customHeight="1" x14ac:dyDescent="0.2">
      <c r="A111" s="5">
        <v>108</v>
      </c>
      <c r="B111" s="39"/>
      <c r="C111" s="31"/>
      <c r="D111" s="32"/>
      <c r="E111" s="33"/>
      <c r="F111" s="33"/>
      <c r="G111" s="33"/>
    </row>
    <row r="112" spans="1:7" ht="19.5" customHeight="1" x14ac:dyDescent="0.2">
      <c r="A112" s="5">
        <v>109</v>
      </c>
      <c r="B112" s="39"/>
      <c r="C112" s="31"/>
      <c r="D112" s="32"/>
      <c r="E112" s="33"/>
      <c r="F112" s="33"/>
      <c r="G112" s="33"/>
    </row>
    <row r="113" spans="1:7" ht="19.5" customHeight="1" x14ac:dyDescent="0.2">
      <c r="A113" s="5">
        <v>110</v>
      </c>
      <c r="B113" s="39"/>
      <c r="C113" s="31"/>
      <c r="D113" s="32"/>
      <c r="E113" s="33"/>
      <c r="F113" s="33"/>
      <c r="G113" s="33"/>
    </row>
    <row r="114" spans="1:7" ht="19.5" customHeight="1" x14ac:dyDescent="0.2">
      <c r="A114" s="5">
        <v>111</v>
      </c>
      <c r="B114" s="39"/>
      <c r="C114" s="31"/>
      <c r="D114" s="32"/>
      <c r="E114" s="33"/>
      <c r="F114" s="33"/>
      <c r="G114" s="33"/>
    </row>
    <row r="115" spans="1:7" ht="19.5" customHeight="1" x14ac:dyDescent="0.2">
      <c r="A115" s="5">
        <v>112</v>
      </c>
      <c r="B115" s="39"/>
      <c r="C115" s="31"/>
      <c r="D115" s="32"/>
      <c r="E115" s="33"/>
      <c r="F115" s="33"/>
      <c r="G115" s="33"/>
    </row>
    <row r="116" spans="1:7" ht="19.5" customHeight="1" x14ac:dyDescent="0.2">
      <c r="A116" s="5">
        <v>113</v>
      </c>
      <c r="B116" s="39"/>
      <c r="C116" s="31"/>
      <c r="D116" s="32"/>
      <c r="E116" s="33"/>
      <c r="F116" s="33"/>
      <c r="G116" s="33"/>
    </row>
    <row r="117" spans="1:7" ht="19.5" customHeight="1" x14ac:dyDescent="0.2">
      <c r="A117" s="5">
        <v>114</v>
      </c>
      <c r="B117" s="39"/>
      <c r="C117" s="31"/>
      <c r="D117" s="32"/>
      <c r="E117" s="33"/>
      <c r="F117" s="33"/>
      <c r="G117" s="33"/>
    </row>
    <row r="118" spans="1:7" ht="19.5" customHeight="1" x14ac:dyDescent="0.2">
      <c r="A118" s="5">
        <v>115</v>
      </c>
      <c r="B118" s="39"/>
      <c r="C118" s="31"/>
      <c r="D118" s="32"/>
      <c r="E118" s="33"/>
      <c r="F118" s="33"/>
      <c r="G118" s="33"/>
    </row>
    <row r="119" spans="1:7" ht="19.5" customHeight="1" x14ac:dyDescent="0.2">
      <c r="A119" s="5">
        <v>116</v>
      </c>
      <c r="B119" s="39"/>
      <c r="C119" s="31"/>
      <c r="D119" s="32"/>
      <c r="E119" s="33"/>
      <c r="F119" s="33"/>
      <c r="G119" s="33"/>
    </row>
    <row r="120" spans="1:7" ht="19.5" customHeight="1" x14ac:dyDescent="0.2">
      <c r="A120" s="5">
        <v>117</v>
      </c>
      <c r="B120" s="39"/>
      <c r="C120" s="31"/>
      <c r="D120" s="32"/>
      <c r="E120" s="33"/>
      <c r="F120" s="33"/>
      <c r="G120" s="33"/>
    </row>
    <row r="121" spans="1:7" ht="19.5" customHeight="1" x14ac:dyDescent="0.2">
      <c r="A121" s="5">
        <v>118</v>
      </c>
      <c r="B121" s="39"/>
      <c r="C121" s="31"/>
      <c r="D121" s="32"/>
      <c r="E121" s="33"/>
      <c r="F121" s="33"/>
      <c r="G121" s="33"/>
    </row>
    <row r="122" spans="1:7" ht="19.5" customHeight="1" x14ac:dyDescent="0.2">
      <c r="A122" s="5">
        <v>119</v>
      </c>
      <c r="B122" s="39"/>
      <c r="C122" s="31"/>
      <c r="D122" s="32"/>
      <c r="E122" s="33"/>
      <c r="F122" s="33"/>
      <c r="G122" s="33"/>
    </row>
    <row r="123" spans="1:7" ht="19.5" customHeight="1" x14ac:dyDescent="0.2">
      <c r="A123" s="5">
        <v>120</v>
      </c>
      <c r="B123" s="39"/>
      <c r="C123" s="31"/>
      <c r="D123" s="32"/>
      <c r="E123" s="33"/>
      <c r="F123" s="33"/>
      <c r="G123" s="33"/>
    </row>
    <row r="124" spans="1:7" ht="19.5" customHeight="1" x14ac:dyDescent="0.2">
      <c r="A124" s="5">
        <v>121</v>
      </c>
      <c r="B124" s="39"/>
      <c r="C124" s="31"/>
      <c r="D124" s="32"/>
      <c r="E124" s="33"/>
      <c r="F124" s="33"/>
      <c r="G124" s="33"/>
    </row>
    <row r="125" spans="1:7" ht="19.5" customHeight="1" x14ac:dyDescent="0.2">
      <c r="A125" s="5">
        <v>122</v>
      </c>
      <c r="B125" s="39"/>
      <c r="C125" s="31"/>
      <c r="D125" s="32"/>
      <c r="E125" s="33"/>
      <c r="F125" s="33"/>
      <c r="G125" s="33"/>
    </row>
    <row r="126" spans="1:7" ht="19.5" customHeight="1" x14ac:dyDescent="0.2">
      <c r="A126" s="5">
        <v>123</v>
      </c>
      <c r="B126" s="39"/>
      <c r="C126" s="31"/>
      <c r="D126" s="32"/>
      <c r="E126" s="33"/>
      <c r="F126" s="33"/>
      <c r="G126" s="33"/>
    </row>
    <row r="127" spans="1:7" ht="19.5" customHeight="1" x14ac:dyDescent="0.2">
      <c r="A127" s="5">
        <v>124</v>
      </c>
      <c r="B127" s="39"/>
      <c r="C127" s="31"/>
      <c r="D127" s="32"/>
      <c r="E127" s="33"/>
      <c r="F127" s="33"/>
      <c r="G127" s="33"/>
    </row>
    <row r="128" spans="1:7" ht="19.5" customHeight="1" x14ac:dyDescent="0.2">
      <c r="A128" s="5">
        <v>125</v>
      </c>
      <c r="B128" s="39"/>
      <c r="C128" s="31"/>
      <c r="D128" s="32"/>
      <c r="E128" s="33"/>
      <c r="F128" s="33"/>
      <c r="G128" s="33"/>
    </row>
    <row r="129" spans="1:7" ht="19.5" customHeight="1" x14ac:dyDescent="0.2">
      <c r="A129" s="5">
        <v>126</v>
      </c>
      <c r="B129" s="39"/>
      <c r="C129" s="31"/>
      <c r="D129" s="32"/>
      <c r="E129" s="33"/>
      <c r="F129" s="33"/>
      <c r="G129" s="33"/>
    </row>
    <row r="130" spans="1:7" ht="19.5" customHeight="1" x14ac:dyDescent="0.2">
      <c r="A130" s="5">
        <v>127</v>
      </c>
      <c r="B130" s="39"/>
      <c r="C130" s="31"/>
      <c r="D130" s="32"/>
      <c r="E130" s="33"/>
      <c r="F130" s="33"/>
      <c r="G130" s="33"/>
    </row>
    <row r="131" spans="1:7" ht="19.5" customHeight="1" x14ac:dyDescent="0.2">
      <c r="A131" s="5">
        <v>128</v>
      </c>
      <c r="B131" s="39"/>
      <c r="C131" s="31"/>
      <c r="D131" s="32"/>
      <c r="E131" s="33"/>
      <c r="F131" s="33"/>
      <c r="G131" s="33"/>
    </row>
    <row r="132" spans="1:7" ht="19.5" customHeight="1" x14ac:dyDescent="0.2">
      <c r="A132" s="5">
        <v>129</v>
      </c>
      <c r="B132" s="39"/>
      <c r="C132" s="31"/>
      <c r="D132" s="32"/>
      <c r="E132" s="33"/>
      <c r="F132" s="33"/>
      <c r="G132" s="33"/>
    </row>
    <row r="133" spans="1:7" ht="19.5" customHeight="1" x14ac:dyDescent="0.2">
      <c r="A133" s="5">
        <v>130</v>
      </c>
      <c r="B133" s="39"/>
      <c r="C133" s="31"/>
      <c r="D133" s="32"/>
      <c r="E133" s="33"/>
      <c r="F133" s="33"/>
      <c r="G133" s="33"/>
    </row>
    <row r="134" spans="1:7" ht="19.5" customHeight="1" x14ac:dyDescent="0.2">
      <c r="A134" s="5">
        <v>131</v>
      </c>
      <c r="B134" s="39"/>
      <c r="C134" s="31"/>
      <c r="D134" s="32"/>
      <c r="E134" s="33"/>
      <c r="F134" s="33"/>
      <c r="G134" s="33"/>
    </row>
    <row r="135" spans="1:7" ht="19.5" customHeight="1" x14ac:dyDescent="0.2">
      <c r="A135" s="5">
        <v>132</v>
      </c>
      <c r="B135" s="39"/>
      <c r="C135" s="31"/>
      <c r="D135" s="32"/>
      <c r="E135" s="33"/>
      <c r="F135" s="33"/>
      <c r="G135" s="33"/>
    </row>
    <row r="136" spans="1:7" ht="19.5" customHeight="1" x14ac:dyDescent="0.2">
      <c r="A136" s="5">
        <v>133</v>
      </c>
      <c r="B136" s="39"/>
      <c r="C136" s="31"/>
      <c r="D136" s="32"/>
      <c r="E136" s="33"/>
      <c r="F136" s="33"/>
      <c r="G136" s="33"/>
    </row>
    <row r="137" spans="1:7" ht="19.5" customHeight="1" x14ac:dyDescent="0.2">
      <c r="A137" s="5">
        <v>134</v>
      </c>
      <c r="B137" s="39"/>
      <c r="C137" s="31"/>
      <c r="D137" s="32"/>
      <c r="E137" s="33"/>
      <c r="F137" s="33"/>
      <c r="G137" s="33"/>
    </row>
    <row r="138" spans="1:7" ht="19.5" customHeight="1" x14ac:dyDescent="0.2">
      <c r="A138" s="5">
        <v>135</v>
      </c>
      <c r="B138" s="39"/>
      <c r="C138" s="31"/>
      <c r="D138" s="32"/>
      <c r="E138" s="33"/>
      <c r="F138" s="33"/>
      <c r="G138" s="33"/>
    </row>
    <row r="139" spans="1:7" ht="19.5" customHeight="1" x14ac:dyDescent="0.2">
      <c r="A139" s="5">
        <v>136</v>
      </c>
      <c r="B139" s="39"/>
      <c r="C139" s="31"/>
      <c r="D139" s="32"/>
      <c r="E139" s="33"/>
      <c r="F139" s="33"/>
      <c r="G139" s="33"/>
    </row>
    <row r="140" spans="1:7" ht="19.5" customHeight="1" x14ac:dyDescent="0.2">
      <c r="A140" s="5">
        <v>137</v>
      </c>
      <c r="B140" s="39"/>
      <c r="C140" s="31"/>
      <c r="D140" s="32"/>
      <c r="E140" s="33"/>
      <c r="F140" s="33"/>
      <c r="G140" s="33"/>
    </row>
    <row r="141" spans="1:7" ht="19.5" customHeight="1" x14ac:dyDescent="0.2">
      <c r="A141" s="5">
        <v>138</v>
      </c>
      <c r="B141" s="39"/>
      <c r="C141" s="31"/>
      <c r="D141" s="32"/>
      <c r="E141" s="33"/>
      <c r="F141" s="33"/>
      <c r="G141" s="33"/>
    </row>
    <row r="142" spans="1:7" ht="19.5" customHeight="1" x14ac:dyDescent="0.2">
      <c r="A142" s="5">
        <v>139</v>
      </c>
      <c r="B142" s="39"/>
      <c r="C142" s="31"/>
      <c r="D142" s="32"/>
      <c r="E142" s="33"/>
      <c r="F142" s="33"/>
      <c r="G142" s="33"/>
    </row>
    <row r="143" spans="1:7" ht="19.5" customHeight="1" x14ac:dyDescent="0.2">
      <c r="A143" s="5">
        <v>140</v>
      </c>
      <c r="B143" s="39"/>
      <c r="C143" s="31"/>
      <c r="D143" s="32"/>
      <c r="E143" s="33"/>
      <c r="F143" s="33"/>
      <c r="G143" s="33"/>
    </row>
    <row r="144" spans="1:7" ht="19.5" customHeight="1" x14ac:dyDescent="0.2">
      <c r="A144" s="5">
        <v>141</v>
      </c>
      <c r="B144" s="39"/>
      <c r="C144" s="31"/>
      <c r="D144" s="32"/>
      <c r="E144" s="33"/>
      <c r="F144" s="33"/>
      <c r="G144" s="33"/>
    </row>
    <row r="145" spans="1:7" ht="19.5" customHeight="1" x14ac:dyDescent="0.2">
      <c r="A145" s="5">
        <v>142</v>
      </c>
      <c r="B145" s="39"/>
      <c r="C145" s="31"/>
      <c r="D145" s="32"/>
      <c r="E145" s="33"/>
      <c r="F145" s="33"/>
      <c r="G145" s="33"/>
    </row>
    <row r="146" spans="1:7" ht="19.5" customHeight="1" x14ac:dyDescent="0.2">
      <c r="A146" s="5">
        <v>143</v>
      </c>
      <c r="B146" s="39"/>
      <c r="C146" s="31"/>
      <c r="D146" s="32"/>
      <c r="E146" s="33"/>
      <c r="F146" s="33"/>
      <c r="G146" s="33"/>
    </row>
    <row r="147" spans="1:7" ht="19.5" customHeight="1" x14ac:dyDescent="0.2">
      <c r="A147" s="5">
        <v>144</v>
      </c>
      <c r="B147" s="39"/>
      <c r="C147" s="31"/>
      <c r="D147" s="32"/>
      <c r="E147" s="33"/>
      <c r="F147" s="33"/>
      <c r="G147" s="33"/>
    </row>
    <row r="148" spans="1:7" ht="19.5" customHeight="1" x14ac:dyDescent="0.2">
      <c r="A148" s="5">
        <v>145</v>
      </c>
      <c r="B148" s="39"/>
      <c r="C148" s="31"/>
      <c r="D148" s="32"/>
      <c r="E148" s="33"/>
      <c r="F148" s="33"/>
      <c r="G148" s="33"/>
    </row>
    <row r="149" spans="1:7" ht="19.5" customHeight="1" x14ac:dyDescent="0.2">
      <c r="A149" s="5">
        <v>146</v>
      </c>
      <c r="B149" s="39"/>
      <c r="C149" s="31"/>
      <c r="D149" s="32"/>
      <c r="E149" s="33"/>
      <c r="F149" s="33"/>
      <c r="G149" s="33"/>
    </row>
    <row r="150" spans="1:7" ht="19.5" customHeight="1" x14ac:dyDescent="0.2">
      <c r="A150" s="5">
        <v>147</v>
      </c>
      <c r="B150" s="39"/>
      <c r="C150" s="31"/>
      <c r="D150" s="32"/>
      <c r="E150" s="33"/>
      <c r="F150" s="33"/>
      <c r="G150" s="33"/>
    </row>
    <row r="151" spans="1:7" ht="19.5" customHeight="1" x14ac:dyDescent="0.2">
      <c r="A151" s="5">
        <v>148</v>
      </c>
      <c r="B151" s="39"/>
      <c r="C151" s="31"/>
      <c r="D151" s="32"/>
      <c r="E151" s="33"/>
      <c r="F151" s="33"/>
      <c r="G151" s="33"/>
    </row>
    <row r="152" spans="1:7" ht="19.5" customHeight="1" x14ac:dyDescent="0.2">
      <c r="A152" s="5">
        <v>149</v>
      </c>
      <c r="B152" s="39"/>
      <c r="C152" s="31"/>
      <c r="D152" s="32"/>
      <c r="E152" s="33"/>
      <c r="F152" s="33"/>
      <c r="G152" s="33"/>
    </row>
    <row r="153" spans="1:7" ht="19.5" customHeight="1" x14ac:dyDescent="0.2">
      <c r="A153" s="5">
        <v>150</v>
      </c>
      <c r="B153" s="39"/>
      <c r="C153" s="31"/>
      <c r="D153" s="32"/>
      <c r="E153" s="33"/>
      <c r="F153" s="33"/>
      <c r="G153" s="33"/>
    </row>
    <row r="154" spans="1:7" ht="19.5" customHeight="1" x14ac:dyDescent="0.2">
      <c r="A154" s="5">
        <v>151</v>
      </c>
      <c r="B154" s="39"/>
      <c r="C154" s="31"/>
      <c r="D154" s="32"/>
      <c r="E154" s="33"/>
      <c r="F154" s="33"/>
      <c r="G154" s="33"/>
    </row>
    <row r="155" spans="1:7" ht="19.5" customHeight="1" x14ac:dyDescent="0.2">
      <c r="A155" s="5">
        <v>152</v>
      </c>
      <c r="B155" s="39"/>
      <c r="C155" s="31"/>
      <c r="D155" s="32"/>
      <c r="E155" s="33"/>
      <c r="F155" s="33"/>
      <c r="G155" s="33"/>
    </row>
    <row r="156" spans="1:7" ht="19.5" customHeight="1" x14ac:dyDescent="0.2">
      <c r="A156" s="5">
        <v>153</v>
      </c>
      <c r="B156" s="39"/>
      <c r="C156" s="31"/>
      <c r="D156" s="32"/>
      <c r="E156" s="33"/>
      <c r="F156" s="33"/>
      <c r="G156" s="33"/>
    </row>
    <row r="157" spans="1:7" ht="19.5" customHeight="1" x14ac:dyDescent="0.2">
      <c r="A157" s="5">
        <v>154</v>
      </c>
      <c r="B157" s="39"/>
      <c r="C157" s="31"/>
      <c r="D157" s="32"/>
      <c r="E157" s="33"/>
      <c r="F157" s="33"/>
      <c r="G157" s="33"/>
    </row>
    <row r="158" spans="1:7" ht="19.5" customHeight="1" x14ac:dyDescent="0.2">
      <c r="A158" s="5">
        <v>155</v>
      </c>
      <c r="B158" s="39"/>
      <c r="C158" s="31"/>
      <c r="D158" s="32"/>
      <c r="E158" s="33"/>
      <c r="F158" s="33"/>
      <c r="G158" s="33"/>
    </row>
    <row r="159" spans="1:7" ht="19.5" customHeight="1" x14ac:dyDescent="0.2">
      <c r="A159" s="5">
        <v>156</v>
      </c>
      <c r="B159" s="39"/>
      <c r="C159" s="31"/>
      <c r="D159" s="32"/>
      <c r="E159" s="33"/>
      <c r="F159" s="33"/>
      <c r="G159" s="33"/>
    </row>
    <row r="160" spans="1:7" ht="19.5" customHeight="1" x14ac:dyDescent="0.2">
      <c r="A160" s="5">
        <v>157</v>
      </c>
      <c r="B160" s="39"/>
      <c r="C160" s="31"/>
      <c r="D160" s="32"/>
      <c r="E160" s="33"/>
      <c r="F160" s="33"/>
      <c r="G160" s="33"/>
    </row>
    <row r="161" spans="1:7" ht="19.5" customHeight="1" x14ac:dyDescent="0.2">
      <c r="A161" s="5">
        <v>158</v>
      </c>
      <c r="B161" s="39"/>
      <c r="C161" s="31"/>
      <c r="D161" s="32"/>
      <c r="E161" s="33"/>
      <c r="F161" s="33"/>
      <c r="G161" s="33"/>
    </row>
    <row r="162" spans="1:7" ht="19.5" customHeight="1" x14ac:dyDescent="0.2">
      <c r="A162" s="5">
        <v>159</v>
      </c>
      <c r="B162" s="39"/>
      <c r="C162" s="31"/>
      <c r="D162" s="32"/>
      <c r="E162" s="33"/>
      <c r="F162" s="33"/>
      <c r="G162" s="33"/>
    </row>
    <row r="163" spans="1:7" ht="19.5" customHeight="1" x14ac:dyDescent="0.2">
      <c r="A163" s="5">
        <v>160</v>
      </c>
      <c r="B163" s="39"/>
      <c r="C163" s="31"/>
      <c r="D163" s="32"/>
      <c r="E163" s="33"/>
      <c r="F163" s="33"/>
      <c r="G163" s="33"/>
    </row>
    <row r="164" spans="1:7" ht="19.5" customHeight="1" x14ac:dyDescent="0.2">
      <c r="A164" s="5">
        <v>161</v>
      </c>
      <c r="B164" s="39"/>
      <c r="C164" s="31"/>
      <c r="D164" s="32"/>
      <c r="E164" s="33"/>
      <c r="F164" s="33"/>
      <c r="G164" s="33"/>
    </row>
    <row r="165" spans="1:7" ht="19.5" customHeight="1" x14ac:dyDescent="0.2">
      <c r="A165" s="5">
        <v>162</v>
      </c>
      <c r="B165" s="39"/>
      <c r="C165" s="31"/>
      <c r="D165" s="32"/>
      <c r="E165" s="33"/>
      <c r="F165" s="33"/>
      <c r="G165" s="33"/>
    </row>
    <row r="166" spans="1:7" ht="19.5" customHeight="1" x14ac:dyDescent="0.2">
      <c r="A166" s="5">
        <v>163</v>
      </c>
      <c r="B166" s="39"/>
      <c r="C166" s="31"/>
      <c r="D166" s="32"/>
      <c r="E166" s="33"/>
      <c r="F166" s="33"/>
      <c r="G166" s="33"/>
    </row>
    <row r="167" spans="1:7" ht="19.5" customHeight="1" x14ac:dyDescent="0.2">
      <c r="A167" s="5">
        <v>164</v>
      </c>
      <c r="B167" s="39"/>
      <c r="C167" s="31"/>
      <c r="D167" s="32"/>
      <c r="E167" s="33"/>
      <c r="F167" s="33"/>
      <c r="G167" s="33"/>
    </row>
    <row r="168" spans="1:7" ht="19.5" customHeight="1" x14ac:dyDescent="0.2">
      <c r="A168" s="5">
        <v>165</v>
      </c>
      <c r="B168" s="39"/>
      <c r="C168" s="31"/>
      <c r="D168" s="32"/>
      <c r="E168" s="33"/>
      <c r="F168" s="33"/>
      <c r="G168" s="33"/>
    </row>
    <row r="169" spans="1:7" ht="19.5" customHeight="1" x14ac:dyDescent="0.2">
      <c r="A169" s="5">
        <v>166</v>
      </c>
      <c r="B169" s="39"/>
      <c r="C169" s="31"/>
      <c r="D169" s="32"/>
      <c r="E169" s="33"/>
      <c r="F169" s="33"/>
      <c r="G169" s="33"/>
    </row>
    <row r="170" spans="1:7" ht="19.5" customHeight="1" x14ac:dyDescent="0.2">
      <c r="A170" s="5">
        <v>167</v>
      </c>
      <c r="B170" s="39"/>
      <c r="C170" s="31"/>
      <c r="D170" s="32"/>
      <c r="E170" s="33"/>
      <c r="F170" s="33"/>
      <c r="G170" s="33"/>
    </row>
    <row r="171" spans="1:7" ht="19.5" customHeight="1" x14ac:dyDescent="0.2">
      <c r="A171" s="5">
        <v>168</v>
      </c>
      <c r="B171" s="39"/>
      <c r="C171" s="31"/>
      <c r="D171" s="32"/>
      <c r="E171" s="33"/>
      <c r="F171" s="33"/>
      <c r="G171" s="33"/>
    </row>
    <row r="172" spans="1:7" ht="19.5" customHeight="1" x14ac:dyDescent="0.2">
      <c r="A172" s="5">
        <v>169</v>
      </c>
      <c r="B172" s="39"/>
      <c r="C172" s="31"/>
      <c r="D172" s="32"/>
      <c r="E172" s="33"/>
      <c r="F172" s="33"/>
      <c r="G172" s="33"/>
    </row>
    <row r="173" spans="1:7" ht="19.5" customHeight="1" x14ac:dyDescent="0.2">
      <c r="A173" s="5">
        <v>170</v>
      </c>
      <c r="B173" s="39"/>
      <c r="C173" s="31"/>
      <c r="D173" s="32"/>
      <c r="E173" s="33"/>
      <c r="F173" s="33"/>
      <c r="G173" s="33"/>
    </row>
    <row r="174" spans="1:7" ht="19.5" customHeight="1" x14ac:dyDescent="0.2">
      <c r="A174" s="5">
        <v>171</v>
      </c>
      <c r="B174" s="39"/>
      <c r="C174" s="31"/>
      <c r="D174" s="32"/>
      <c r="E174" s="33"/>
      <c r="F174" s="33"/>
      <c r="G174" s="33"/>
    </row>
    <row r="175" spans="1:7" ht="19.5" customHeight="1" x14ac:dyDescent="0.2">
      <c r="A175" s="5">
        <v>172</v>
      </c>
      <c r="B175" s="39"/>
      <c r="C175" s="31"/>
      <c r="D175" s="32"/>
      <c r="E175" s="33"/>
      <c r="F175" s="33"/>
      <c r="G175" s="33"/>
    </row>
    <row r="176" spans="1:7" ht="19.5" customHeight="1" x14ac:dyDescent="0.2">
      <c r="A176" s="5">
        <v>173</v>
      </c>
      <c r="B176" s="39"/>
      <c r="C176" s="31"/>
      <c r="D176" s="32"/>
      <c r="E176" s="33"/>
      <c r="F176" s="33"/>
      <c r="G176" s="33"/>
    </row>
    <row r="177" spans="1:7" ht="19.5" customHeight="1" x14ac:dyDescent="0.2">
      <c r="A177" s="5">
        <v>174</v>
      </c>
      <c r="B177" s="39"/>
      <c r="C177" s="31"/>
      <c r="D177" s="32"/>
      <c r="E177" s="33"/>
      <c r="F177" s="33"/>
      <c r="G177" s="33"/>
    </row>
    <row r="178" spans="1:7" ht="19.5" customHeight="1" x14ac:dyDescent="0.2">
      <c r="A178" s="5">
        <v>175</v>
      </c>
      <c r="B178" s="39"/>
      <c r="C178" s="31"/>
      <c r="D178" s="32"/>
      <c r="E178" s="33"/>
      <c r="F178" s="33"/>
      <c r="G178" s="33"/>
    </row>
    <row r="179" spans="1:7" ht="19.5" customHeight="1" x14ac:dyDescent="0.2">
      <c r="A179" s="5">
        <v>176</v>
      </c>
      <c r="B179" s="39"/>
      <c r="C179" s="31"/>
      <c r="D179" s="32"/>
      <c r="E179" s="33"/>
      <c r="F179" s="33"/>
      <c r="G179" s="33"/>
    </row>
    <row r="180" spans="1:7" ht="19.5" customHeight="1" x14ac:dyDescent="0.2">
      <c r="A180" s="5">
        <v>177</v>
      </c>
      <c r="B180" s="39"/>
      <c r="C180" s="31"/>
      <c r="D180" s="32"/>
      <c r="E180" s="33"/>
      <c r="F180" s="33"/>
      <c r="G180" s="33"/>
    </row>
    <row r="181" spans="1:7" ht="19.5" customHeight="1" x14ac:dyDescent="0.2">
      <c r="A181" s="5">
        <v>178</v>
      </c>
      <c r="B181" s="39"/>
      <c r="C181" s="31"/>
      <c r="D181" s="32"/>
      <c r="E181" s="33"/>
      <c r="F181" s="33"/>
      <c r="G181" s="33"/>
    </row>
    <row r="182" spans="1:7" ht="19.5" customHeight="1" x14ac:dyDescent="0.2">
      <c r="A182" s="5">
        <v>179</v>
      </c>
      <c r="B182" s="39"/>
      <c r="C182" s="31"/>
      <c r="D182" s="32"/>
      <c r="E182" s="33"/>
      <c r="F182" s="33"/>
      <c r="G182" s="33"/>
    </row>
    <row r="183" spans="1:7" ht="19.5" customHeight="1" x14ac:dyDescent="0.2">
      <c r="A183" s="5">
        <v>180</v>
      </c>
      <c r="B183" s="39"/>
      <c r="C183" s="31"/>
      <c r="D183" s="32"/>
      <c r="E183" s="33"/>
      <c r="F183" s="33"/>
      <c r="G183" s="33"/>
    </row>
    <row r="184" spans="1:7" ht="19.5" customHeight="1" x14ac:dyDescent="0.2">
      <c r="A184" s="5">
        <v>181</v>
      </c>
      <c r="B184" s="39"/>
      <c r="C184" s="31"/>
      <c r="D184" s="32"/>
      <c r="E184" s="33"/>
      <c r="F184" s="33"/>
      <c r="G184" s="33"/>
    </row>
    <row r="185" spans="1:7" ht="19.5" customHeight="1" x14ac:dyDescent="0.2">
      <c r="A185" s="5">
        <v>182</v>
      </c>
      <c r="B185" s="39"/>
      <c r="C185" s="31"/>
      <c r="D185" s="32"/>
      <c r="E185" s="33"/>
      <c r="F185" s="33"/>
      <c r="G185" s="33"/>
    </row>
    <row r="186" spans="1:7" ht="19.5" customHeight="1" x14ac:dyDescent="0.2">
      <c r="A186" s="5">
        <v>183</v>
      </c>
      <c r="B186" s="39"/>
      <c r="C186" s="31"/>
      <c r="D186" s="32"/>
      <c r="E186" s="33"/>
      <c r="F186" s="33"/>
      <c r="G186" s="33"/>
    </row>
    <row r="187" spans="1:7" ht="19.5" customHeight="1" x14ac:dyDescent="0.2">
      <c r="A187" s="5">
        <v>184</v>
      </c>
      <c r="B187" s="39"/>
      <c r="C187" s="31"/>
      <c r="D187" s="32"/>
      <c r="E187" s="33"/>
      <c r="F187" s="33"/>
      <c r="G187" s="33"/>
    </row>
    <row r="188" spans="1:7" ht="19.5" customHeight="1" x14ac:dyDescent="0.2">
      <c r="A188" s="5">
        <v>185</v>
      </c>
      <c r="B188" s="39"/>
      <c r="C188" s="31"/>
      <c r="D188" s="32"/>
      <c r="E188" s="33"/>
      <c r="F188" s="33"/>
      <c r="G188" s="33"/>
    </row>
    <row r="189" spans="1:7" ht="19.5" customHeight="1" x14ac:dyDescent="0.2">
      <c r="A189" s="5">
        <v>186</v>
      </c>
      <c r="B189" s="39"/>
      <c r="C189" s="31"/>
      <c r="D189" s="32"/>
      <c r="E189" s="33"/>
      <c r="F189" s="33"/>
      <c r="G189" s="33"/>
    </row>
    <row r="190" spans="1:7" ht="19.5" customHeight="1" x14ac:dyDescent="0.2">
      <c r="A190" s="5">
        <v>187</v>
      </c>
      <c r="B190" s="39"/>
      <c r="C190" s="31"/>
      <c r="D190" s="32"/>
      <c r="E190" s="33"/>
      <c r="F190" s="33"/>
      <c r="G190" s="33"/>
    </row>
    <row r="191" spans="1:7" ht="19.5" customHeight="1" x14ac:dyDescent="0.2">
      <c r="A191" s="5">
        <v>188</v>
      </c>
      <c r="B191" s="39"/>
      <c r="C191" s="31"/>
      <c r="D191" s="32"/>
      <c r="E191" s="33"/>
      <c r="F191" s="33"/>
      <c r="G191" s="33"/>
    </row>
    <row r="192" spans="1:7" ht="19.5" customHeight="1" x14ac:dyDescent="0.2">
      <c r="A192" s="5">
        <v>189</v>
      </c>
      <c r="B192" s="39"/>
      <c r="C192" s="31"/>
      <c r="D192" s="32"/>
      <c r="E192" s="33"/>
      <c r="F192" s="33"/>
      <c r="G192" s="33"/>
    </row>
    <row r="193" spans="1:7" ht="19.5" customHeight="1" x14ac:dyDescent="0.2">
      <c r="A193" s="5">
        <v>190</v>
      </c>
      <c r="B193" s="39"/>
      <c r="C193" s="31"/>
      <c r="D193" s="32"/>
      <c r="E193" s="33"/>
      <c r="F193" s="33"/>
      <c r="G193" s="33"/>
    </row>
    <row r="194" spans="1:7" ht="19.5" customHeight="1" x14ac:dyDescent="0.2">
      <c r="A194" s="5">
        <v>191</v>
      </c>
      <c r="B194" s="39"/>
      <c r="C194" s="31"/>
      <c r="D194" s="32"/>
      <c r="E194" s="33"/>
      <c r="F194" s="33"/>
      <c r="G194" s="33"/>
    </row>
    <row r="195" spans="1:7" ht="19.5" customHeight="1" x14ac:dyDescent="0.2">
      <c r="A195" s="5">
        <v>192</v>
      </c>
      <c r="B195" s="39"/>
      <c r="C195" s="31"/>
      <c r="D195" s="32"/>
      <c r="E195" s="33"/>
      <c r="F195" s="33"/>
      <c r="G195" s="33"/>
    </row>
    <row r="196" spans="1:7" ht="19.5" customHeight="1" x14ac:dyDescent="0.2">
      <c r="A196" s="5">
        <v>193</v>
      </c>
      <c r="B196" s="39"/>
      <c r="C196" s="31"/>
      <c r="D196" s="32"/>
      <c r="E196" s="33"/>
      <c r="F196" s="33"/>
      <c r="G196" s="33"/>
    </row>
    <row r="197" spans="1:7" ht="19.5" customHeight="1" x14ac:dyDescent="0.2">
      <c r="A197" s="5">
        <v>194</v>
      </c>
      <c r="B197" s="39"/>
      <c r="C197" s="31"/>
      <c r="D197" s="32"/>
      <c r="E197" s="33"/>
      <c r="F197" s="33"/>
      <c r="G197" s="33"/>
    </row>
    <row r="198" spans="1:7" ht="19.5" customHeight="1" x14ac:dyDescent="0.2">
      <c r="A198" s="5">
        <v>195</v>
      </c>
      <c r="B198" s="39"/>
      <c r="C198" s="31"/>
      <c r="D198" s="32"/>
      <c r="E198" s="33"/>
      <c r="F198" s="33"/>
      <c r="G198" s="33"/>
    </row>
    <row r="199" spans="1:7" ht="19.5" customHeight="1" x14ac:dyDescent="0.2">
      <c r="A199" s="5">
        <v>196</v>
      </c>
      <c r="B199" s="39"/>
      <c r="C199" s="31"/>
      <c r="D199" s="32"/>
      <c r="E199" s="33"/>
      <c r="F199" s="33"/>
      <c r="G199" s="33"/>
    </row>
    <row r="200" spans="1:7" ht="19.5" customHeight="1" x14ac:dyDescent="0.2">
      <c r="A200" s="5">
        <v>197</v>
      </c>
      <c r="B200" s="39"/>
      <c r="C200" s="31"/>
      <c r="D200" s="32"/>
      <c r="E200" s="33"/>
      <c r="F200" s="33"/>
      <c r="G200" s="33"/>
    </row>
    <row r="201" spans="1:7" ht="19.5" customHeight="1" x14ac:dyDescent="0.2">
      <c r="A201" s="5">
        <v>198</v>
      </c>
      <c r="B201" s="39"/>
      <c r="C201" s="31"/>
      <c r="D201" s="32"/>
      <c r="E201" s="33"/>
      <c r="F201" s="33"/>
      <c r="G201" s="33"/>
    </row>
    <row r="202" spans="1:7" ht="19.5" customHeight="1" x14ac:dyDescent="0.2">
      <c r="A202" s="5">
        <v>199</v>
      </c>
      <c r="B202" s="39"/>
      <c r="C202" s="31"/>
      <c r="D202" s="32"/>
      <c r="E202" s="33"/>
      <c r="F202" s="33"/>
      <c r="G202" s="33"/>
    </row>
    <row r="203" spans="1:7" ht="19.5" customHeight="1" x14ac:dyDescent="0.2">
      <c r="A203" s="5">
        <v>200</v>
      </c>
      <c r="B203" s="39"/>
      <c r="C203" s="31"/>
      <c r="D203" s="32"/>
      <c r="E203" s="33"/>
      <c r="F203" s="33"/>
      <c r="G203" s="33"/>
    </row>
    <row r="204" spans="1:7" ht="19.5" customHeight="1" x14ac:dyDescent="0.2">
      <c r="A204" s="5">
        <v>201</v>
      </c>
      <c r="B204" s="39"/>
      <c r="C204" s="31"/>
      <c r="D204" s="32"/>
      <c r="E204" s="33"/>
      <c r="F204" s="33"/>
      <c r="G204" s="33"/>
    </row>
    <row r="205" spans="1:7" ht="19.5" customHeight="1" x14ac:dyDescent="0.2">
      <c r="A205" s="5">
        <v>202</v>
      </c>
      <c r="B205" s="39"/>
      <c r="C205" s="31"/>
      <c r="D205" s="32"/>
      <c r="E205" s="33"/>
      <c r="F205" s="33"/>
      <c r="G205" s="33"/>
    </row>
    <row r="206" spans="1:7" ht="19.5" customHeight="1" x14ac:dyDescent="0.2">
      <c r="A206" s="5">
        <v>203</v>
      </c>
      <c r="B206" s="39"/>
      <c r="C206" s="31"/>
      <c r="D206" s="32"/>
      <c r="E206" s="33"/>
      <c r="F206" s="33"/>
      <c r="G206" s="33"/>
    </row>
    <row r="207" spans="1:7" ht="19.5" customHeight="1" x14ac:dyDescent="0.2">
      <c r="A207" s="5">
        <v>204</v>
      </c>
      <c r="B207" s="39"/>
      <c r="C207" s="31"/>
      <c r="D207" s="32"/>
      <c r="E207" s="33"/>
      <c r="F207" s="33"/>
      <c r="G207" s="33"/>
    </row>
    <row r="208" spans="1:7" ht="19.5" customHeight="1" x14ac:dyDescent="0.2">
      <c r="A208" s="5">
        <v>205</v>
      </c>
      <c r="B208" s="39"/>
      <c r="C208" s="31"/>
      <c r="D208" s="32"/>
      <c r="E208" s="33"/>
      <c r="F208" s="33"/>
      <c r="G208" s="33"/>
    </row>
    <row r="209" spans="1:7" ht="19.5" customHeight="1" x14ac:dyDescent="0.2">
      <c r="A209" s="5">
        <v>206</v>
      </c>
      <c r="B209" s="39"/>
      <c r="C209" s="31"/>
      <c r="D209" s="32"/>
      <c r="E209" s="33"/>
      <c r="F209" s="33"/>
      <c r="G209" s="33"/>
    </row>
    <row r="210" spans="1:7" ht="19.5" customHeight="1" x14ac:dyDescent="0.2">
      <c r="A210" s="5">
        <v>207</v>
      </c>
      <c r="B210" s="39"/>
      <c r="C210" s="31"/>
      <c r="D210" s="32"/>
      <c r="E210" s="33"/>
      <c r="F210" s="33"/>
      <c r="G210" s="33"/>
    </row>
    <row r="211" spans="1:7" ht="19.5" customHeight="1" x14ac:dyDescent="0.2">
      <c r="A211" s="5">
        <v>208</v>
      </c>
      <c r="B211" s="39"/>
      <c r="C211" s="31"/>
      <c r="D211" s="32"/>
      <c r="E211" s="33"/>
      <c r="F211" s="33"/>
      <c r="G211" s="33"/>
    </row>
    <row r="212" spans="1:7" ht="19.5" customHeight="1" x14ac:dyDescent="0.2">
      <c r="A212" s="5">
        <v>209</v>
      </c>
      <c r="B212" s="39"/>
      <c r="C212" s="31"/>
      <c r="D212" s="32"/>
      <c r="E212" s="33"/>
      <c r="F212" s="33"/>
      <c r="G212" s="33"/>
    </row>
    <row r="213" spans="1:7" ht="19.5" customHeight="1" x14ac:dyDescent="0.2">
      <c r="A213" s="5">
        <v>210</v>
      </c>
      <c r="B213" s="39"/>
      <c r="C213" s="31"/>
      <c r="D213" s="32"/>
      <c r="E213" s="33"/>
      <c r="F213" s="33"/>
      <c r="G213" s="33"/>
    </row>
    <row r="214" spans="1:7" ht="19.5" customHeight="1" x14ac:dyDescent="0.2">
      <c r="A214" s="5">
        <v>211</v>
      </c>
      <c r="B214" s="39"/>
      <c r="C214" s="31"/>
      <c r="D214" s="32"/>
      <c r="E214" s="33"/>
      <c r="F214" s="33"/>
      <c r="G214" s="33"/>
    </row>
    <row r="215" spans="1:7" ht="19.5" customHeight="1" x14ac:dyDescent="0.2">
      <c r="A215" s="5">
        <v>212</v>
      </c>
      <c r="B215" s="39"/>
      <c r="C215" s="31"/>
      <c r="D215" s="32"/>
      <c r="E215" s="33"/>
      <c r="F215" s="33"/>
      <c r="G215" s="33"/>
    </row>
    <row r="216" spans="1:7" ht="19.5" customHeight="1" x14ac:dyDescent="0.2">
      <c r="A216" s="5">
        <v>213</v>
      </c>
      <c r="B216" s="39"/>
      <c r="C216" s="31"/>
      <c r="D216" s="32"/>
      <c r="E216" s="33"/>
      <c r="F216" s="33"/>
      <c r="G216" s="33"/>
    </row>
    <row r="217" spans="1:7" ht="19.5" customHeight="1" x14ac:dyDescent="0.2">
      <c r="A217" s="5">
        <v>214</v>
      </c>
      <c r="B217" s="39"/>
      <c r="C217" s="31"/>
      <c r="D217" s="32"/>
      <c r="E217" s="33"/>
      <c r="F217" s="33"/>
      <c r="G217" s="33"/>
    </row>
    <row r="218" spans="1:7" ht="19.5" customHeight="1" x14ac:dyDescent="0.2">
      <c r="A218" s="5">
        <v>215</v>
      </c>
      <c r="B218" s="39"/>
      <c r="C218" s="31"/>
      <c r="D218" s="32"/>
      <c r="E218" s="33"/>
      <c r="F218" s="33"/>
      <c r="G218" s="33"/>
    </row>
    <row r="219" spans="1:7" ht="19.5" customHeight="1" x14ac:dyDescent="0.2">
      <c r="A219" s="5">
        <v>216</v>
      </c>
      <c r="B219" s="39"/>
      <c r="C219" s="31"/>
      <c r="D219" s="32"/>
      <c r="E219" s="33"/>
      <c r="F219" s="33"/>
      <c r="G219" s="33"/>
    </row>
    <row r="220" spans="1:7" ht="19.5" customHeight="1" x14ac:dyDescent="0.2">
      <c r="A220" s="5">
        <v>217</v>
      </c>
      <c r="B220" s="39"/>
      <c r="C220" s="31"/>
      <c r="D220" s="32"/>
      <c r="E220" s="33"/>
      <c r="F220" s="33"/>
      <c r="G220" s="33"/>
    </row>
    <row r="221" spans="1:7" ht="19.5" customHeight="1" x14ac:dyDescent="0.2">
      <c r="A221" s="5">
        <v>218</v>
      </c>
      <c r="B221" s="39"/>
      <c r="C221" s="31"/>
      <c r="D221" s="32"/>
      <c r="E221" s="33"/>
      <c r="F221" s="33"/>
      <c r="G221" s="33"/>
    </row>
    <row r="222" spans="1:7" ht="19.5" customHeight="1" x14ac:dyDescent="0.2">
      <c r="A222" s="5">
        <v>219</v>
      </c>
      <c r="B222" s="39"/>
      <c r="C222" s="31"/>
      <c r="D222" s="32"/>
      <c r="E222" s="33"/>
      <c r="F222" s="33"/>
      <c r="G222" s="33"/>
    </row>
    <row r="223" spans="1:7" ht="19.5" customHeight="1" x14ac:dyDescent="0.2">
      <c r="A223" s="5">
        <v>220</v>
      </c>
      <c r="B223" s="39"/>
      <c r="C223" s="31"/>
      <c r="D223" s="32"/>
      <c r="E223" s="33"/>
      <c r="F223" s="33"/>
      <c r="G223" s="33"/>
    </row>
    <row r="224" spans="1:7" ht="19.5" customHeight="1" x14ac:dyDescent="0.2">
      <c r="A224" s="5">
        <v>221</v>
      </c>
      <c r="B224" s="39"/>
      <c r="C224" s="31"/>
      <c r="D224" s="32"/>
      <c r="E224" s="33"/>
      <c r="F224" s="33"/>
      <c r="G224" s="33"/>
    </row>
    <row r="225" spans="1:7" ht="19.5" customHeight="1" x14ac:dyDescent="0.2">
      <c r="A225" s="5">
        <v>222</v>
      </c>
      <c r="B225" s="39"/>
      <c r="C225" s="31"/>
      <c r="D225" s="32"/>
      <c r="E225" s="33"/>
      <c r="F225" s="33"/>
      <c r="G225" s="33"/>
    </row>
    <row r="226" spans="1:7" ht="19.5" customHeight="1" x14ac:dyDescent="0.2">
      <c r="A226" s="5">
        <v>223</v>
      </c>
      <c r="B226" s="39"/>
      <c r="C226" s="31"/>
      <c r="D226" s="32"/>
      <c r="E226" s="33"/>
      <c r="F226" s="33"/>
      <c r="G226" s="33"/>
    </row>
    <row r="227" spans="1:7" ht="19.5" customHeight="1" x14ac:dyDescent="0.2">
      <c r="A227" s="5">
        <v>224</v>
      </c>
      <c r="B227" s="39"/>
      <c r="C227" s="31"/>
      <c r="D227" s="32"/>
      <c r="E227" s="33"/>
      <c r="F227" s="33"/>
      <c r="G227" s="33"/>
    </row>
    <row r="228" spans="1:7" ht="19.5" customHeight="1" x14ac:dyDescent="0.2">
      <c r="A228" s="5">
        <v>225</v>
      </c>
      <c r="B228" s="39"/>
      <c r="C228" s="31"/>
      <c r="D228" s="32"/>
      <c r="E228" s="33"/>
      <c r="F228" s="33"/>
      <c r="G228" s="33"/>
    </row>
    <row r="229" spans="1:7" ht="19.5" customHeight="1" x14ac:dyDescent="0.2">
      <c r="A229" s="5">
        <v>226</v>
      </c>
      <c r="B229" s="39"/>
      <c r="C229" s="31"/>
      <c r="D229" s="32"/>
      <c r="E229" s="33"/>
      <c r="F229" s="33"/>
      <c r="G229" s="33"/>
    </row>
    <row r="230" spans="1:7" ht="19.5" customHeight="1" x14ac:dyDescent="0.2">
      <c r="A230" s="5">
        <v>227</v>
      </c>
      <c r="B230" s="39"/>
      <c r="C230" s="31"/>
      <c r="D230" s="32"/>
      <c r="E230" s="33"/>
      <c r="F230" s="33"/>
      <c r="G230" s="33"/>
    </row>
    <row r="231" spans="1:7" ht="19.5" customHeight="1" x14ac:dyDescent="0.2">
      <c r="A231" s="5">
        <v>228</v>
      </c>
      <c r="B231" s="39"/>
      <c r="C231" s="31"/>
      <c r="D231" s="32"/>
      <c r="E231" s="33"/>
      <c r="F231" s="33"/>
      <c r="G231" s="33"/>
    </row>
    <row r="232" spans="1:7" ht="19.5" customHeight="1" x14ac:dyDescent="0.2">
      <c r="A232" s="5">
        <v>229</v>
      </c>
      <c r="B232" s="39"/>
      <c r="C232" s="31"/>
      <c r="D232" s="32"/>
      <c r="E232" s="33"/>
      <c r="F232" s="33"/>
      <c r="G232" s="33"/>
    </row>
    <row r="233" spans="1:7" ht="19.5" customHeight="1" x14ac:dyDescent="0.2">
      <c r="A233" s="5">
        <v>230</v>
      </c>
      <c r="B233" s="39"/>
      <c r="C233" s="31"/>
      <c r="D233" s="32"/>
      <c r="E233" s="33"/>
      <c r="F233" s="33"/>
      <c r="G233" s="33"/>
    </row>
    <row r="234" spans="1:7" ht="19.5" customHeight="1" x14ac:dyDescent="0.2">
      <c r="A234" s="5">
        <v>231</v>
      </c>
      <c r="B234" s="39"/>
      <c r="C234" s="31"/>
      <c r="D234" s="32"/>
      <c r="E234" s="33"/>
      <c r="F234" s="33"/>
      <c r="G234" s="33"/>
    </row>
    <row r="235" spans="1:7" ht="19.5" customHeight="1" x14ac:dyDescent="0.2">
      <c r="A235" s="5">
        <v>232</v>
      </c>
      <c r="B235" s="39"/>
      <c r="C235" s="31"/>
      <c r="D235" s="32"/>
      <c r="E235" s="33"/>
      <c r="F235" s="33"/>
      <c r="G235" s="33"/>
    </row>
    <row r="236" spans="1:7" ht="19.5" customHeight="1" x14ac:dyDescent="0.2">
      <c r="A236" s="5">
        <v>233</v>
      </c>
      <c r="B236" s="39"/>
      <c r="C236" s="31"/>
      <c r="D236" s="32"/>
      <c r="E236" s="33"/>
      <c r="F236" s="33"/>
      <c r="G236" s="33"/>
    </row>
    <row r="237" spans="1:7" ht="19.5" customHeight="1" x14ac:dyDescent="0.2">
      <c r="A237" s="5">
        <v>234</v>
      </c>
      <c r="B237" s="39"/>
      <c r="C237" s="31"/>
      <c r="D237" s="32"/>
      <c r="E237" s="33"/>
      <c r="F237" s="33"/>
      <c r="G237" s="33"/>
    </row>
    <row r="238" spans="1:7" ht="19.5" customHeight="1" x14ac:dyDescent="0.2">
      <c r="A238" s="5">
        <v>235</v>
      </c>
      <c r="B238" s="39"/>
      <c r="C238" s="31"/>
      <c r="D238" s="32"/>
      <c r="E238" s="33"/>
      <c r="F238" s="33"/>
      <c r="G238" s="33"/>
    </row>
    <row r="239" spans="1:7" ht="19.5" customHeight="1" x14ac:dyDescent="0.2">
      <c r="A239" s="5">
        <v>236</v>
      </c>
      <c r="B239" s="39"/>
      <c r="C239" s="31"/>
      <c r="D239" s="32"/>
      <c r="E239" s="33"/>
      <c r="F239" s="33"/>
      <c r="G239" s="33"/>
    </row>
    <row r="240" spans="1:7" ht="19.5" customHeight="1" x14ac:dyDescent="0.2">
      <c r="A240" s="5">
        <v>237</v>
      </c>
      <c r="B240" s="39"/>
      <c r="C240" s="31"/>
      <c r="D240" s="32"/>
      <c r="E240" s="33"/>
      <c r="F240" s="33"/>
      <c r="G240" s="33"/>
    </row>
    <row r="241" spans="1:7" ht="19.5" customHeight="1" x14ac:dyDescent="0.2">
      <c r="A241" s="5">
        <v>238</v>
      </c>
      <c r="B241" s="39"/>
      <c r="C241" s="31"/>
      <c r="D241" s="32"/>
      <c r="E241" s="33"/>
      <c r="F241" s="33"/>
      <c r="G241" s="33"/>
    </row>
    <row r="242" spans="1:7" ht="19.5" customHeight="1" x14ac:dyDescent="0.2">
      <c r="A242" s="5">
        <v>239</v>
      </c>
      <c r="B242" s="39"/>
      <c r="C242" s="31"/>
      <c r="D242" s="32"/>
      <c r="E242" s="33"/>
      <c r="F242" s="33"/>
      <c r="G242" s="33"/>
    </row>
    <row r="243" spans="1:7" ht="19.5" customHeight="1" x14ac:dyDescent="0.2">
      <c r="A243" s="5">
        <v>240</v>
      </c>
      <c r="B243" s="39"/>
      <c r="C243" s="31"/>
      <c r="D243" s="32"/>
      <c r="E243" s="33"/>
      <c r="F243" s="33"/>
      <c r="G243" s="33"/>
    </row>
    <row r="244" spans="1:7" ht="19.5" customHeight="1" x14ac:dyDescent="0.2">
      <c r="A244" s="5">
        <v>241</v>
      </c>
      <c r="B244" s="39"/>
      <c r="C244" s="31"/>
      <c r="D244" s="32"/>
      <c r="E244" s="33"/>
      <c r="F244" s="33"/>
      <c r="G244" s="33"/>
    </row>
    <row r="245" spans="1:7" ht="19.5" customHeight="1" x14ac:dyDescent="0.2">
      <c r="A245" s="5">
        <v>242</v>
      </c>
      <c r="B245" s="39"/>
      <c r="C245" s="31"/>
      <c r="D245" s="32"/>
      <c r="E245" s="33"/>
      <c r="F245" s="33"/>
      <c r="G245" s="33"/>
    </row>
    <row r="246" spans="1:7" ht="19.5" customHeight="1" x14ac:dyDescent="0.2">
      <c r="A246" s="5">
        <v>243</v>
      </c>
      <c r="B246" s="39"/>
      <c r="C246" s="31"/>
      <c r="D246" s="32"/>
      <c r="E246" s="33"/>
      <c r="F246" s="33"/>
      <c r="G246" s="33"/>
    </row>
    <row r="247" spans="1:7" ht="19.5" customHeight="1" x14ac:dyDescent="0.2">
      <c r="A247" s="5">
        <v>244</v>
      </c>
      <c r="B247" s="39"/>
      <c r="C247" s="31"/>
      <c r="D247" s="32"/>
      <c r="E247" s="33"/>
      <c r="F247" s="33"/>
      <c r="G247" s="33"/>
    </row>
    <row r="248" spans="1:7" ht="19.5" customHeight="1" x14ac:dyDescent="0.2">
      <c r="A248" s="5">
        <v>245</v>
      </c>
      <c r="B248" s="39"/>
      <c r="C248" s="31"/>
      <c r="D248" s="32"/>
      <c r="E248" s="33"/>
      <c r="F248" s="33"/>
      <c r="G248" s="33"/>
    </row>
    <row r="249" spans="1:7" ht="19.5" customHeight="1" x14ac:dyDescent="0.2">
      <c r="A249" s="5">
        <v>246</v>
      </c>
      <c r="B249" s="39"/>
      <c r="C249" s="31"/>
      <c r="D249" s="32"/>
      <c r="E249" s="33"/>
      <c r="F249" s="33"/>
      <c r="G249" s="33"/>
    </row>
    <row r="250" spans="1:7" ht="19.5" customHeight="1" x14ac:dyDescent="0.2">
      <c r="A250" s="5">
        <v>247</v>
      </c>
      <c r="B250" s="39"/>
      <c r="C250" s="31"/>
      <c r="D250" s="32"/>
      <c r="E250" s="33"/>
      <c r="F250" s="33"/>
      <c r="G250" s="33"/>
    </row>
    <row r="251" spans="1:7" ht="19.5" customHeight="1" x14ac:dyDescent="0.2">
      <c r="A251" s="5">
        <v>248</v>
      </c>
      <c r="B251" s="39"/>
      <c r="C251" s="31"/>
      <c r="D251" s="32"/>
      <c r="E251" s="33"/>
      <c r="F251" s="33"/>
      <c r="G251" s="33"/>
    </row>
    <row r="252" spans="1:7" ht="19.5" customHeight="1" x14ac:dyDescent="0.2">
      <c r="A252" s="5">
        <v>249</v>
      </c>
      <c r="B252" s="39"/>
      <c r="C252" s="31"/>
      <c r="D252" s="32"/>
      <c r="E252" s="33"/>
      <c r="F252" s="33"/>
      <c r="G252" s="33"/>
    </row>
    <row r="253" spans="1:7" ht="19.5" customHeight="1" x14ac:dyDescent="0.2">
      <c r="A253" s="5">
        <v>250</v>
      </c>
      <c r="B253" s="39"/>
      <c r="C253" s="31"/>
      <c r="D253" s="32"/>
      <c r="E253" s="33"/>
      <c r="F253" s="33"/>
      <c r="G253" s="33"/>
    </row>
    <row r="254" spans="1:7" ht="19.5" customHeight="1" x14ac:dyDescent="0.2">
      <c r="A254" s="5">
        <v>251</v>
      </c>
      <c r="B254" s="39"/>
      <c r="C254" s="31"/>
      <c r="D254" s="32"/>
      <c r="E254" s="33"/>
      <c r="F254" s="33"/>
      <c r="G254" s="33"/>
    </row>
    <row r="255" spans="1:7" ht="19.5" customHeight="1" x14ac:dyDescent="0.2">
      <c r="A255" s="5">
        <v>252</v>
      </c>
      <c r="B255" s="39"/>
      <c r="C255" s="31"/>
      <c r="D255" s="32"/>
      <c r="E255" s="33"/>
      <c r="F255" s="33"/>
      <c r="G255" s="33"/>
    </row>
    <row r="256" spans="1:7" ht="19.5" customHeight="1" x14ac:dyDescent="0.2">
      <c r="A256" s="5">
        <v>253</v>
      </c>
      <c r="B256" s="39"/>
      <c r="C256" s="31"/>
      <c r="D256" s="32"/>
      <c r="E256" s="33"/>
      <c r="F256" s="33"/>
      <c r="G256" s="33"/>
    </row>
    <row r="257" spans="1:7" ht="19.5" customHeight="1" x14ac:dyDescent="0.2">
      <c r="A257" s="5">
        <v>254</v>
      </c>
      <c r="B257" s="39"/>
      <c r="C257" s="31"/>
      <c r="D257" s="32"/>
      <c r="E257" s="33"/>
      <c r="F257" s="33"/>
      <c r="G257" s="33"/>
    </row>
    <row r="258" spans="1:7" ht="19.5" customHeight="1" x14ac:dyDescent="0.2">
      <c r="A258" s="5">
        <v>255</v>
      </c>
      <c r="B258" s="39"/>
      <c r="C258" s="31"/>
      <c r="D258" s="32"/>
      <c r="E258" s="33"/>
      <c r="F258" s="33"/>
      <c r="G258" s="33"/>
    </row>
    <row r="259" spans="1:7" ht="19.5" customHeight="1" x14ac:dyDescent="0.2">
      <c r="A259" s="5">
        <v>256</v>
      </c>
      <c r="B259" s="39"/>
      <c r="C259" s="31"/>
      <c r="D259" s="32"/>
      <c r="E259" s="33"/>
      <c r="F259" s="33"/>
      <c r="G259" s="33"/>
    </row>
    <row r="260" spans="1:7" ht="19.5" customHeight="1" x14ac:dyDescent="0.2">
      <c r="A260" s="5">
        <v>257</v>
      </c>
      <c r="B260" s="39"/>
      <c r="C260" s="31"/>
      <c r="D260" s="32"/>
      <c r="E260" s="33"/>
      <c r="F260" s="33"/>
      <c r="G260" s="33"/>
    </row>
    <row r="261" spans="1:7" ht="19.5" customHeight="1" x14ac:dyDescent="0.2">
      <c r="A261" s="5">
        <v>258</v>
      </c>
      <c r="B261" s="39"/>
      <c r="C261" s="31"/>
      <c r="D261" s="32"/>
      <c r="E261" s="33"/>
      <c r="F261" s="33"/>
      <c r="G261" s="33"/>
    </row>
    <row r="262" spans="1:7" ht="19.5" customHeight="1" x14ac:dyDescent="0.2">
      <c r="A262" s="5">
        <v>259</v>
      </c>
      <c r="B262" s="39"/>
      <c r="C262" s="31"/>
      <c r="D262" s="32"/>
      <c r="E262" s="33"/>
      <c r="F262" s="33"/>
      <c r="G262" s="33"/>
    </row>
    <row r="263" spans="1:7" ht="19.5" customHeight="1" x14ac:dyDescent="0.2">
      <c r="A263" s="5">
        <v>260</v>
      </c>
      <c r="B263" s="39"/>
      <c r="C263" s="31"/>
      <c r="D263" s="32"/>
      <c r="E263" s="33"/>
      <c r="F263" s="33"/>
      <c r="G263" s="33"/>
    </row>
    <row r="264" spans="1:7" ht="19.5" customHeight="1" x14ac:dyDescent="0.2">
      <c r="A264" s="5">
        <v>261</v>
      </c>
      <c r="B264" s="39"/>
      <c r="C264" s="31"/>
      <c r="D264" s="32"/>
      <c r="E264" s="33"/>
      <c r="F264" s="33"/>
      <c r="G264" s="33"/>
    </row>
    <row r="265" spans="1:7" ht="19.5" customHeight="1" x14ac:dyDescent="0.2">
      <c r="A265" s="5">
        <v>262</v>
      </c>
      <c r="B265" s="39"/>
      <c r="C265" s="31"/>
      <c r="D265" s="32"/>
      <c r="E265" s="33"/>
      <c r="F265" s="33"/>
      <c r="G265" s="33"/>
    </row>
    <row r="266" spans="1:7" ht="19.5" customHeight="1" x14ac:dyDescent="0.2">
      <c r="A266" s="5">
        <v>263</v>
      </c>
      <c r="B266" s="39"/>
      <c r="C266" s="31"/>
      <c r="D266" s="32"/>
      <c r="E266" s="33"/>
      <c r="F266" s="33"/>
      <c r="G266" s="33"/>
    </row>
    <row r="267" spans="1:7" ht="19.5" customHeight="1" x14ac:dyDescent="0.2">
      <c r="A267" s="5">
        <v>264</v>
      </c>
      <c r="B267" s="39"/>
      <c r="C267" s="31"/>
      <c r="D267" s="32"/>
      <c r="E267" s="33"/>
      <c r="F267" s="33"/>
      <c r="G267" s="33"/>
    </row>
    <row r="268" spans="1:7" ht="19.5" customHeight="1" x14ac:dyDescent="0.2">
      <c r="A268" s="5">
        <v>265</v>
      </c>
      <c r="B268" s="39"/>
      <c r="C268" s="31"/>
      <c r="D268" s="32"/>
      <c r="E268" s="33"/>
      <c r="F268" s="33"/>
      <c r="G268" s="33"/>
    </row>
    <row r="269" spans="1:7" ht="19.5" customHeight="1" x14ac:dyDescent="0.2">
      <c r="A269" s="5">
        <v>266</v>
      </c>
      <c r="B269" s="39"/>
      <c r="C269" s="31"/>
      <c r="D269" s="32"/>
      <c r="E269" s="33"/>
      <c r="F269" s="33"/>
      <c r="G269" s="33"/>
    </row>
    <row r="270" spans="1:7" ht="19.5" customHeight="1" x14ac:dyDescent="0.2">
      <c r="A270" s="5">
        <v>267</v>
      </c>
      <c r="B270" s="39"/>
      <c r="C270" s="31"/>
      <c r="D270" s="32"/>
      <c r="E270" s="33"/>
      <c r="F270" s="33"/>
      <c r="G270" s="33"/>
    </row>
    <row r="271" spans="1:7" ht="19.5" customHeight="1" x14ac:dyDescent="0.2">
      <c r="A271" s="5">
        <v>268</v>
      </c>
      <c r="B271" s="39"/>
      <c r="C271" s="31"/>
      <c r="D271" s="32"/>
      <c r="E271" s="33"/>
      <c r="F271" s="33"/>
      <c r="G271" s="33"/>
    </row>
    <row r="272" spans="1:7" ht="19.5" customHeight="1" x14ac:dyDescent="0.2">
      <c r="A272" s="5">
        <v>269</v>
      </c>
      <c r="B272" s="39"/>
      <c r="C272" s="31"/>
      <c r="D272" s="32"/>
      <c r="E272" s="33"/>
      <c r="F272" s="33"/>
      <c r="G272" s="33"/>
    </row>
    <row r="273" spans="1:7" ht="19.5" customHeight="1" x14ac:dyDescent="0.2">
      <c r="A273" s="5">
        <v>270</v>
      </c>
      <c r="B273" s="39"/>
      <c r="C273" s="31"/>
      <c r="D273" s="32"/>
      <c r="E273" s="33"/>
      <c r="F273" s="33"/>
      <c r="G273" s="33"/>
    </row>
    <row r="274" spans="1:7" ht="19.5" customHeight="1" x14ac:dyDescent="0.2">
      <c r="A274" s="5">
        <v>271</v>
      </c>
      <c r="B274" s="39"/>
      <c r="C274" s="31"/>
      <c r="D274" s="32"/>
      <c r="E274" s="33"/>
      <c r="F274" s="33"/>
      <c r="G274" s="33"/>
    </row>
    <row r="275" spans="1:7" ht="19.5" customHeight="1" x14ac:dyDescent="0.2">
      <c r="A275" s="5">
        <v>272</v>
      </c>
      <c r="B275" s="39"/>
      <c r="C275" s="31"/>
      <c r="D275" s="32"/>
      <c r="E275" s="33"/>
      <c r="F275" s="33"/>
      <c r="G275" s="33"/>
    </row>
    <row r="276" spans="1:7" ht="19.5" customHeight="1" x14ac:dyDescent="0.2">
      <c r="A276" s="5">
        <v>273</v>
      </c>
      <c r="B276" s="39"/>
      <c r="C276" s="31"/>
      <c r="D276" s="32"/>
      <c r="E276" s="33"/>
      <c r="F276" s="33"/>
      <c r="G276" s="33"/>
    </row>
    <row r="277" spans="1:7" ht="19.5" customHeight="1" x14ac:dyDescent="0.2">
      <c r="A277" s="5">
        <v>274</v>
      </c>
      <c r="B277" s="39"/>
      <c r="C277" s="31"/>
      <c r="D277" s="32"/>
      <c r="E277" s="33"/>
      <c r="F277" s="33"/>
      <c r="G277" s="33"/>
    </row>
    <row r="278" spans="1:7" ht="19.5" customHeight="1" x14ac:dyDescent="0.2">
      <c r="A278" s="5">
        <v>275</v>
      </c>
      <c r="B278" s="39"/>
      <c r="C278" s="31"/>
      <c r="D278" s="32"/>
      <c r="E278" s="33"/>
      <c r="F278" s="33"/>
      <c r="G278" s="33"/>
    </row>
    <row r="279" spans="1:7" ht="19.5" customHeight="1" x14ac:dyDescent="0.2">
      <c r="A279" s="5">
        <v>276</v>
      </c>
      <c r="B279" s="39"/>
      <c r="C279" s="31"/>
      <c r="D279" s="32"/>
      <c r="E279" s="33"/>
      <c r="F279" s="33"/>
      <c r="G279" s="33"/>
    </row>
    <row r="280" spans="1:7" ht="19.5" customHeight="1" x14ac:dyDescent="0.2">
      <c r="A280" s="5">
        <v>277</v>
      </c>
      <c r="B280" s="39"/>
      <c r="C280" s="31"/>
      <c r="D280" s="32"/>
      <c r="E280" s="33"/>
      <c r="F280" s="33"/>
      <c r="G280" s="33"/>
    </row>
    <row r="281" spans="1:7" ht="19.5" customHeight="1" x14ac:dyDescent="0.2">
      <c r="A281" s="5">
        <v>278</v>
      </c>
      <c r="B281" s="39"/>
      <c r="C281" s="31"/>
      <c r="D281" s="32"/>
      <c r="E281" s="33"/>
      <c r="F281" s="33"/>
      <c r="G281" s="33"/>
    </row>
    <row r="282" spans="1:7" ht="19.5" customHeight="1" x14ac:dyDescent="0.2">
      <c r="A282" s="5">
        <v>279</v>
      </c>
      <c r="B282" s="39"/>
      <c r="C282" s="31"/>
      <c r="D282" s="32"/>
      <c r="E282" s="33"/>
      <c r="F282" s="33"/>
      <c r="G282" s="33"/>
    </row>
    <row r="283" spans="1:7" ht="19.5" customHeight="1" x14ac:dyDescent="0.2">
      <c r="A283" s="5">
        <v>280</v>
      </c>
      <c r="B283" s="39"/>
      <c r="C283" s="31"/>
      <c r="D283" s="32"/>
      <c r="E283" s="33"/>
      <c r="F283" s="33"/>
      <c r="G283" s="33"/>
    </row>
    <row r="284" spans="1:7" ht="19.5" customHeight="1" x14ac:dyDescent="0.2">
      <c r="A284" s="5">
        <v>281</v>
      </c>
      <c r="B284" s="39"/>
      <c r="C284" s="31"/>
      <c r="D284" s="32"/>
      <c r="E284" s="33"/>
      <c r="F284" s="33"/>
      <c r="G284" s="33"/>
    </row>
    <row r="285" spans="1:7" ht="19.5" customHeight="1" x14ac:dyDescent="0.2">
      <c r="A285" s="5">
        <v>282</v>
      </c>
      <c r="B285" s="39"/>
      <c r="C285" s="31"/>
      <c r="D285" s="32"/>
      <c r="E285" s="33"/>
      <c r="F285" s="33"/>
      <c r="G285" s="33"/>
    </row>
    <row r="286" spans="1:7" ht="19.5" customHeight="1" x14ac:dyDescent="0.2">
      <c r="A286" s="5">
        <v>283</v>
      </c>
      <c r="B286" s="39"/>
      <c r="C286" s="31"/>
      <c r="D286" s="32"/>
      <c r="E286" s="33"/>
      <c r="F286" s="33"/>
      <c r="G286" s="33"/>
    </row>
    <row r="287" spans="1:7" ht="19.5" customHeight="1" x14ac:dyDescent="0.2">
      <c r="A287" s="5">
        <v>284</v>
      </c>
      <c r="B287" s="39"/>
      <c r="C287" s="31"/>
      <c r="D287" s="32"/>
      <c r="E287" s="33"/>
      <c r="F287" s="33"/>
      <c r="G287" s="33"/>
    </row>
    <row r="288" spans="1:7" ht="19.5" customHeight="1" x14ac:dyDescent="0.2">
      <c r="A288" s="5">
        <v>285</v>
      </c>
      <c r="B288" s="39"/>
      <c r="C288" s="31"/>
      <c r="D288" s="32"/>
      <c r="E288" s="33"/>
      <c r="F288" s="33"/>
      <c r="G288" s="33"/>
    </row>
    <row r="289" spans="1:7" ht="19.5" customHeight="1" x14ac:dyDescent="0.2">
      <c r="A289" s="5">
        <v>286</v>
      </c>
      <c r="B289" s="39"/>
      <c r="C289" s="31"/>
      <c r="D289" s="32"/>
      <c r="E289" s="33"/>
      <c r="F289" s="33"/>
      <c r="G289" s="33"/>
    </row>
    <row r="290" spans="1:7" ht="19.5" customHeight="1" x14ac:dyDescent="0.2">
      <c r="A290" s="5">
        <v>287</v>
      </c>
      <c r="B290" s="39"/>
      <c r="C290" s="31"/>
      <c r="D290" s="32"/>
      <c r="E290" s="33"/>
      <c r="F290" s="33"/>
      <c r="G290" s="33"/>
    </row>
    <row r="291" spans="1:7" ht="19.5" customHeight="1" x14ac:dyDescent="0.2">
      <c r="A291" s="5">
        <v>288</v>
      </c>
      <c r="B291" s="39"/>
      <c r="C291" s="31"/>
      <c r="D291" s="32"/>
      <c r="E291" s="33"/>
      <c r="F291" s="33"/>
      <c r="G291" s="33"/>
    </row>
    <row r="292" spans="1:7" ht="19.5" customHeight="1" x14ac:dyDescent="0.2">
      <c r="A292" s="5">
        <v>289</v>
      </c>
      <c r="B292" s="39"/>
      <c r="C292" s="31"/>
      <c r="D292" s="32"/>
      <c r="E292" s="33"/>
      <c r="F292" s="33"/>
      <c r="G292" s="33"/>
    </row>
    <row r="293" spans="1:7" ht="19.5" customHeight="1" x14ac:dyDescent="0.2">
      <c r="A293" s="5">
        <v>290</v>
      </c>
      <c r="B293" s="39"/>
      <c r="C293" s="31"/>
      <c r="D293" s="32"/>
      <c r="E293" s="33"/>
      <c r="F293" s="33"/>
      <c r="G293" s="33"/>
    </row>
    <row r="294" spans="1:7" ht="19.5" customHeight="1" x14ac:dyDescent="0.2">
      <c r="A294" s="5">
        <v>291</v>
      </c>
      <c r="B294" s="39"/>
      <c r="C294" s="31"/>
      <c r="D294" s="32"/>
      <c r="E294" s="33"/>
      <c r="F294" s="33"/>
      <c r="G294" s="33"/>
    </row>
    <row r="295" spans="1:7" ht="19.5" customHeight="1" x14ac:dyDescent="0.2">
      <c r="A295" s="5">
        <v>292</v>
      </c>
      <c r="B295" s="39"/>
      <c r="C295" s="31"/>
      <c r="D295" s="32"/>
      <c r="E295" s="33"/>
      <c r="F295" s="33"/>
      <c r="G295" s="33"/>
    </row>
    <row r="296" spans="1:7" ht="19.5" customHeight="1" x14ac:dyDescent="0.2">
      <c r="A296" s="5">
        <v>293</v>
      </c>
      <c r="B296" s="39"/>
      <c r="C296" s="31"/>
      <c r="D296" s="32"/>
      <c r="E296" s="33"/>
      <c r="F296" s="33"/>
      <c r="G296" s="33"/>
    </row>
    <row r="297" spans="1:7" ht="19.5" customHeight="1" x14ac:dyDescent="0.2">
      <c r="A297" s="5">
        <v>294</v>
      </c>
      <c r="B297" s="39"/>
      <c r="C297" s="31"/>
      <c r="D297" s="32"/>
      <c r="E297" s="33"/>
      <c r="F297" s="33"/>
      <c r="G297" s="33"/>
    </row>
    <row r="298" spans="1:7" ht="19.5" customHeight="1" x14ac:dyDescent="0.2">
      <c r="A298" s="5">
        <v>295</v>
      </c>
      <c r="B298" s="39"/>
      <c r="C298" s="31"/>
      <c r="D298" s="32"/>
      <c r="E298" s="33"/>
      <c r="F298" s="33"/>
      <c r="G298" s="33"/>
    </row>
    <row r="299" spans="1:7" ht="19.5" customHeight="1" x14ac:dyDescent="0.2">
      <c r="A299" s="5">
        <v>296</v>
      </c>
      <c r="B299" s="39"/>
      <c r="C299" s="31"/>
      <c r="D299" s="32"/>
      <c r="E299" s="33"/>
      <c r="F299" s="33"/>
      <c r="G299" s="33"/>
    </row>
    <row r="300" spans="1:7" ht="19.5" customHeight="1" x14ac:dyDescent="0.2">
      <c r="A300" s="5">
        <v>297</v>
      </c>
      <c r="B300" s="39"/>
      <c r="C300" s="31"/>
      <c r="D300" s="32"/>
      <c r="E300" s="33"/>
      <c r="F300" s="33"/>
      <c r="G300" s="33"/>
    </row>
    <row r="301" spans="1:7" ht="19.5" customHeight="1" x14ac:dyDescent="0.2">
      <c r="A301" s="5">
        <v>298</v>
      </c>
      <c r="B301" s="39"/>
      <c r="C301" s="31"/>
      <c r="D301" s="32"/>
      <c r="E301" s="33"/>
      <c r="F301" s="33"/>
      <c r="G301" s="33"/>
    </row>
    <row r="302" spans="1:7" ht="19.5" customHeight="1" x14ac:dyDescent="0.2">
      <c r="A302" s="5">
        <v>299</v>
      </c>
      <c r="B302" s="39"/>
      <c r="C302" s="31"/>
      <c r="D302" s="32"/>
      <c r="E302" s="33"/>
      <c r="F302" s="33"/>
      <c r="G302" s="33"/>
    </row>
    <row r="303" spans="1:7" ht="19.5" customHeight="1" x14ac:dyDescent="0.2">
      <c r="A303" s="5">
        <v>300</v>
      </c>
      <c r="B303" s="39"/>
      <c r="C303" s="31"/>
      <c r="D303" s="32"/>
      <c r="E303" s="33"/>
      <c r="F303" s="33"/>
      <c r="G303" s="33"/>
    </row>
    <row r="304" spans="1:7" ht="19.5" customHeight="1" x14ac:dyDescent="0.2">
      <c r="A304" s="5">
        <v>301</v>
      </c>
      <c r="B304" s="39"/>
      <c r="C304" s="31"/>
      <c r="D304" s="32"/>
      <c r="E304" s="33"/>
      <c r="F304" s="33"/>
      <c r="G304" s="33"/>
    </row>
    <row r="305" spans="1:7" ht="19.5" customHeight="1" x14ac:dyDescent="0.2">
      <c r="A305" s="5">
        <v>302</v>
      </c>
      <c r="B305" s="39"/>
      <c r="C305" s="31"/>
      <c r="D305" s="32"/>
      <c r="E305" s="33"/>
      <c r="F305" s="33"/>
      <c r="G305" s="33"/>
    </row>
    <row r="306" spans="1:7" ht="19.5" customHeight="1" x14ac:dyDescent="0.2">
      <c r="A306" s="5">
        <v>303</v>
      </c>
      <c r="B306" s="39"/>
      <c r="C306" s="31"/>
      <c r="D306" s="32"/>
      <c r="E306" s="33"/>
      <c r="F306" s="33"/>
      <c r="G306" s="33"/>
    </row>
    <row r="307" spans="1:7" ht="19.5" customHeight="1" x14ac:dyDescent="0.2">
      <c r="A307" s="5">
        <v>304</v>
      </c>
      <c r="B307" s="39"/>
      <c r="C307" s="31"/>
      <c r="D307" s="32"/>
      <c r="E307" s="33"/>
      <c r="F307" s="33"/>
      <c r="G307" s="33"/>
    </row>
    <row r="308" spans="1:7" ht="19.5" customHeight="1" x14ac:dyDescent="0.2">
      <c r="A308" s="5">
        <v>305</v>
      </c>
      <c r="B308" s="39"/>
      <c r="C308" s="31"/>
      <c r="D308" s="32"/>
      <c r="E308" s="33"/>
      <c r="F308" s="33"/>
      <c r="G308" s="33"/>
    </row>
    <row r="309" spans="1:7" ht="19.5" customHeight="1" x14ac:dyDescent="0.2">
      <c r="A309" s="5">
        <v>306</v>
      </c>
      <c r="B309" s="39"/>
      <c r="C309" s="31"/>
      <c r="D309" s="32"/>
      <c r="E309" s="33"/>
      <c r="F309" s="33"/>
      <c r="G309" s="33"/>
    </row>
    <row r="310" spans="1:7" x14ac:dyDescent="0.2">
      <c r="A310" s="5">
        <v>307</v>
      </c>
      <c r="B310" s="39"/>
      <c r="C310" s="31"/>
      <c r="D310" s="32"/>
      <c r="E310" s="33"/>
      <c r="F310" s="33"/>
      <c r="G310" s="33"/>
    </row>
    <row r="311" spans="1:7" x14ac:dyDescent="0.2">
      <c r="A311" s="5">
        <v>308</v>
      </c>
      <c r="B311" s="39"/>
      <c r="C311" s="31"/>
      <c r="D311" s="32"/>
      <c r="E311" s="33"/>
      <c r="F311" s="33"/>
      <c r="G311" s="33"/>
    </row>
    <row r="312" spans="1:7" x14ac:dyDescent="0.2">
      <c r="A312" s="5">
        <v>309</v>
      </c>
      <c r="B312" s="39"/>
      <c r="C312" s="31"/>
      <c r="D312" s="32"/>
      <c r="E312" s="33"/>
      <c r="F312" s="33"/>
      <c r="G312" s="33"/>
    </row>
    <row r="313" spans="1:7" x14ac:dyDescent="0.2">
      <c r="A313" s="5">
        <v>310</v>
      </c>
      <c r="B313" s="39"/>
      <c r="C313" s="31"/>
      <c r="D313" s="32"/>
      <c r="E313" s="33"/>
      <c r="F313" s="33"/>
      <c r="G313" s="33"/>
    </row>
    <row r="314" spans="1:7" x14ac:dyDescent="0.2">
      <c r="A314" s="5">
        <v>311</v>
      </c>
      <c r="B314" s="39"/>
      <c r="C314" s="31"/>
      <c r="D314" s="32"/>
      <c r="E314" s="33"/>
      <c r="F314" s="33"/>
      <c r="G314" s="33"/>
    </row>
    <row r="315" spans="1:7" x14ac:dyDescent="0.2">
      <c r="A315" s="5">
        <v>312</v>
      </c>
      <c r="B315" s="39"/>
      <c r="C315" s="31"/>
      <c r="D315" s="32"/>
      <c r="E315" s="33"/>
      <c r="F315" s="33"/>
      <c r="G315" s="33"/>
    </row>
    <row r="316" spans="1:7" x14ac:dyDescent="0.2">
      <c r="A316" s="5">
        <v>313</v>
      </c>
      <c r="B316" s="39"/>
      <c r="C316" s="31"/>
      <c r="D316" s="32"/>
      <c r="E316" s="33"/>
      <c r="F316" s="33"/>
      <c r="G316" s="33"/>
    </row>
    <row r="317" spans="1:7" x14ac:dyDescent="0.2">
      <c r="A317" s="5">
        <v>314</v>
      </c>
      <c r="B317" s="39"/>
      <c r="C317" s="31"/>
      <c r="D317" s="32"/>
      <c r="E317" s="33"/>
      <c r="F317" s="33"/>
      <c r="G317" s="33"/>
    </row>
    <row r="318" spans="1:7" x14ac:dyDescent="0.2">
      <c r="A318" s="5">
        <v>315</v>
      </c>
      <c r="B318" s="39"/>
      <c r="C318" s="31"/>
      <c r="D318" s="32"/>
      <c r="E318" s="33"/>
      <c r="F318" s="33"/>
      <c r="G318" s="33"/>
    </row>
    <row r="319" spans="1:7" x14ac:dyDescent="0.2">
      <c r="A319" s="5">
        <v>316</v>
      </c>
      <c r="B319" s="39"/>
      <c r="C319" s="31"/>
      <c r="D319" s="32"/>
      <c r="E319" s="33"/>
      <c r="F319" s="33"/>
      <c r="G319" s="33"/>
    </row>
    <row r="320" spans="1:7" x14ac:dyDescent="0.2">
      <c r="A320" s="5">
        <v>317</v>
      </c>
      <c r="B320" s="39"/>
      <c r="C320" s="31"/>
      <c r="D320" s="32"/>
      <c r="E320" s="33"/>
      <c r="F320" s="33"/>
      <c r="G320" s="33"/>
    </row>
    <row r="321" spans="1:7" x14ac:dyDescent="0.2">
      <c r="A321" s="5">
        <v>318</v>
      </c>
      <c r="B321" s="39"/>
      <c r="C321" s="31"/>
      <c r="D321" s="32"/>
      <c r="E321" s="33"/>
      <c r="F321" s="33"/>
      <c r="G321" s="33"/>
    </row>
    <row r="322" spans="1:7" x14ac:dyDescent="0.2">
      <c r="A322" s="5">
        <v>319</v>
      </c>
      <c r="B322" s="39"/>
      <c r="C322" s="31"/>
      <c r="D322" s="32"/>
      <c r="E322" s="33"/>
      <c r="F322" s="33"/>
      <c r="G322" s="33"/>
    </row>
    <row r="323" spans="1:7" x14ac:dyDescent="0.2">
      <c r="A323" s="5">
        <v>320</v>
      </c>
      <c r="B323" s="39"/>
      <c r="C323" s="31"/>
      <c r="D323" s="32"/>
      <c r="E323" s="33"/>
      <c r="F323" s="33"/>
      <c r="G323" s="33"/>
    </row>
    <row r="324" spans="1:7" x14ac:dyDescent="0.2">
      <c r="A324" s="5">
        <v>321</v>
      </c>
      <c r="B324" s="39"/>
      <c r="C324" s="31"/>
      <c r="D324" s="32"/>
      <c r="E324" s="33"/>
      <c r="F324" s="33"/>
      <c r="G324" s="33"/>
    </row>
    <row r="325" spans="1:7" x14ac:dyDescent="0.2">
      <c r="A325" s="5">
        <v>322</v>
      </c>
      <c r="B325" s="39"/>
      <c r="C325" s="31"/>
      <c r="D325" s="32"/>
      <c r="E325" s="33"/>
      <c r="F325" s="33"/>
      <c r="G325" s="33"/>
    </row>
    <row r="326" spans="1:7" x14ac:dyDescent="0.2">
      <c r="A326" s="5">
        <v>323</v>
      </c>
      <c r="B326" s="39"/>
      <c r="C326" s="31"/>
      <c r="D326" s="32"/>
      <c r="E326" s="33"/>
      <c r="F326" s="33"/>
      <c r="G326" s="33"/>
    </row>
    <row r="327" spans="1:7" x14ac:dyDescent="0.2">
      <c r="A327" s="5">
        <v>324</v>
      </c>
      <c r="B327" s="39"/>
      <c r="C327" s="31"/>
      <c r="D327" s="32"/>
      <c r="E327" s="33"/>
      <c r="F327" s="33"/>
      <c r="G327" s="33"/>
    </row>
    <row r="328" spans="1:7" x14ac:dyDescent="0.2">
      <c r="A328" s="5">
        <v>325</v>
      </c>
      <c r="B328" s="39"/>
      <c r="C328" s="31"/>
      <c r="D328" s="32"/>
      <c r="E328" s="33"/>
      <c r="F328" s="33"/>
      <c r="G328" s="33"/>
    </row>
    <row r="329" spans="1:7" x14ac:dyDescent="0.2">
      <c r="A329" s="5">
        <v>326</v>
      </c>
      <c r="B329" s="39"/>
      <c r="C329" s="31"/>
      <c r="D329" s="32"/>
      <c r="E329" s="33"/>
      <c r="F329" s="33"/>
      <c r="G329" s="33"/>
    </row>
    <row r="330" spans="1:7" x14ac:dyDescent="0.2">
      <c r="A330" s="5">
        <v>327</v>
      </c>
      <c r="B330" s="39"/>
      <c r="C330" s="31"/>
      <c r="D330" s="32"/>
      <c r="E330" s="33"/>
      <c r="F330" s="33"/>
      <c r="G330" s="33"/>
    </row>
    <row r="331" spans="1:7" x14ac:dyDescent="0.2">
      <c r="A331" s="5">
        <v>328</v>
      </c>
      <c r="B331" s="39"/>
      <c r="C331" s="31"/>
      <c r="D331" s="32"/>
      <c r="E331" s="33"/>
      <c r="F331" s="33"/>
      <c r="G331" s="33"/>
    </row>
    <row r="332" spans="1:7" x14ac:dyDescent="0.2">
      <c r="A332" s="5">
        <v>329</v>
      </c>
      <c r="B332" s="39"/>
      <c r="C332" s="31"/>
      <c r="D332" s="32"/>
      <c r="E332" s="33"/>
      <c r="F332" s="33"/>
      <c r="G332" s="33"/>
    </row>
    <row r="333" spans="1:7" x14ac:dyDescent="0.2">
      <c r="A333" s="5">
        <v>330</v>
      </c>
      <c r="B333" s="39"/>
      <c r="C333" s="31"/>
      <c r="D333" s="32"/>
      <c r="E333" s="33"/>
      <c r="F333" s="33"/>
      <c r="G333" s="33"/>
    </row>
    <row r="334" spans="1:7" x14ac:dyDescent="0.2">
      <c r="A334" s="5">
        <v>331</v>
      </c>
      <c r="B334" s="39"/>
      <c r="C334" s="31"/>
      <c r="D334" s="32"/>
      <c r="E334" s="33"/>
      <c r="F334" s="33"/>
      <c r="G334" s="33"/>
    </row>
    <row r="335" spans="1:7" x14ac:dyDescent="0.2">
      <c r="A335" s="5">
        <v>332</v>
      </c>
      <c r="B335" s="39"/>
      <c r="C335" s="31"/>
      <c r="D335" s="32"/>
      <c r="E335" s="33"/>
      <c r="F335" s="33"/>
      <c r="G335" s="33"/>
    </row>
    <row r="336" spans="1:7" x14ac:dyDescent="0.2">
      <c r="A336" s="5">
        <v>333</v>
      </c>
      <c r="B336" s="39"/>
      <c r="C336" s="31"/>
      <c r="D336" s="32"/>
      <c r="E336" s="33"/>
      <c r="F336" s="33"/>
      <c r="G336" s="33"/>
    </row>
    <row r="337" spans="1:7" x14ac:dyDescent="0.2">
      <c r="A337" s="5">
        <v>334</v>
      </c>
      <c r="B337" s="39"/>
      <c r="C337" s="31"/>
      <c r="D337" s="32"/>
      <c r="E337" s="33"/>
      <c r="F337" s="33"/>
      <c r="G337" s="33"/>
    </row>
    <row r="338" spans="1:7" x14ac:dyDescent="0.2">
      <c r="A338" s="5">
        <v>335</v>
      </c>
      <c r="B338" s="39"/>
      <c r="C338" s="31"/>
      <c r="D338" s="32"/>
      <c r="E338" s="33"/>
      <c r="F338" s="33"/>
      <c r="G338" s="33"/>
    </row>
    <row r="339" spans="1:7" x14ac:dyDescent="0.2">
      <c r="A339" s="5">
        <v>336</v>
      </c>
      <c r="B339" s="39"/>
      <c r="C339" s="31"/>
      <c r="D339" s="32"/>
      <c r="E339" s="33"/>
      <c r="F339" s="33"/>
      <c r="G339" s="33"/>
    </row>
    <row r="340" spans="1:7" x14ac:dyDescent="0.2">
      <c r="A340" s="5">
        <v>337</v>
      </c>
      <c r="B340" s="39"/>
      <c r="C340" s="31"/>
      <c r="D340" s="32"/>
      <c r="E340" s="33"/>
      <c r="F340" s="33"/>
      <c r="G340" s="33"/>
    </row>
    <row r="341" spans="1:7" x14ac:dyDescent="0.2">
      <c r="A341" s="5">
        <v>338</v>
      </c>
      <c r="B341" s="39"/>
      <c r="C341" s="31"/>
      <c r="D341" s="32"/>
      <c r="E341" s="33"/>
      <c r="F341" s="33"/>
      <c r="G341" s="33"/>
    </row>
    <row r="342" spans="1:7" x14ac:dyDescent="0.2">
      <c r="A342" s="5">
        <v>339</v>
      </c>
      <c r="B342" s="39"/>
      <c r="C342" s="31"/>
      <c r="D342" s="32"/>
      <c r="E342" s="33"/>
      <c r="F342" s="33"/>
      <c r="G342" s="33"/>
    </row>
    <row r="343" spans="1:7" x14ac:dyDescent="0.2">
      <c r="A343" s="5">
        <v>340</v>
      </c>
      <c r="B343" s="39"/>
      <c r="C343" s="31"/>
      <c r="D343" s="32"/>
      <c r="E343" s="33"/>
      <c r="F343" s="33"/>
      <c r="G343" s="33"/>
    </row>
    <row r="344" spans="1:7" x14ac:dyDescent="0.2">
      <c r="A344" s="5">
        <v>341</v>
      </c>
      <c r="B344" s="39"/>
      <c r="C344" s="31"/>
      <c r="D344" s="32"/>
      <c r="E344" s="33"/>
      <c r="F344" s="33"/>
      <c r="G344" s="33"/>
    </row>
    <row r="345" spans="1:7" x14ac:dyDescent="0.2">
      <c r="A345" s="5">
        <v>342</v>
      </c>
      <c r="B345" s="39"/>
      <c r="C345" s="31"/>
      <c r="D345" s="32"/>
      <c r="E345" s="33"/>
      <c r="F345" s="33"/>
      <c r="G345" s="33"/>
    </row>
    <row r="346" spans="1:7" x14ac:dyDescent="0.2">
      <c r="A346" s="5">
        <v>343</v>
      </c>
      <c r="B346" s="39"/>
      <c r="C346" s="31"/>
      <c r="D346" s="32"/>
      <c r="E346" s="33"/>
      <c r="F346" s="33"/>
      <c r="G346" s="33"/>
    </row>
    <row r="347" spans="1:7" x14ac:dyDescent="0.2">
      <c r="A347" s="5">
        <v>344</v>
      </c>
      <c r="B347" s="39"/>
      <c r="C347" s="31"/>
      <c r="D347" s="32"/>
      <c r="E347" s="33"/>
      <c r="F347" s="33"/>
      <c r="G347" s="33"/>
    </row>
    <row r="348" spans="1:7" x14ac:dyDescent="0.2">
      <c r="A348" s="5">
        <v>345</v>
      </c>
      <c r="B348" s="39"/>
      <c r="C348" s="31"/>
      <c r="D348" s="32"/>
      <c r="E348" s="33"/>
      <c r="F348" s="33"/>
      <c r="G348" s="33"/>
    </row>
    <row r="349" spans="1:7" x14ac:dyDescent="0.2">
      <c r="A349" s="5">
        <v>346</v>
      </c>
      <c r="B349" s="39"/>
      <c r="C349" s="31"/>
      <c r="D349" s="32"/>
      <c r="E349" s="33"/>
      <c r="F349" s="33"/>
      <c r="G349" s="33"/>
    </row>
    <row r="350" spans="1:7" x14ac:dyDescent="0.2">
      <c r="A350" s="5">
        <v>347</v>
      </c>
      <c r="B350" s="39"/>
      <c r="C350" s="31"/>
      <c r="D350" s="32"/>
      <c r="E350" s="33"/>
      <c r="F350" s="33"/>
      <c r="G350" s="33"/>
    </row>
    <row r="351" spans="1:7" x14ac:dyDescent="0.2">
      <c r="A351" s="5">
        <v>348</v>
      </c>
      <c r="B351" s="39"/>
      <c r="C351" s="31"/>
      <c r="D351" s="32"/>
      <c r="E351" s="33"/>
      <c r="F351" s="33"/>
      <c r="G351" s="33"/>
    </row>
    <row r="352" spans="1:7" x14ac:dyDescent="0.2">
      <c r="A352" s="5">
        <v>349</v>
      </c>
      <c r="B352" s="39"/>
      <c r="C352" s="31"/>
      <c r="D352" s="32"/>
      <c r="E352" s="33"/>
      <c r="F352" s="33"/>
      <c r="G352" s="33"/>
    </row>
    <row r="353" spans="1:7" x14ac:dyDescent="0.2">
      <c r="A353" s="5">
        <v>350</v>
      </c>
      <c r="B353" s="39"/>
      <c r="C353" s="31"/>
      <c r="D353" s="32"/>
      <c r="E353" s="33"/>
      <c r="F353" s="33"/>
      <c r="G353" s="33"/>
    </row>
    <row r="354" spans="1:7" x14ac:dyDescent="0.2">
      <c r="A354" s="5">
        <v>351</v>
      </c>
      <c r="B354" s="39"/>
      <c r="C354" s="31"/>
      <c r="D354" s="32"/>
      <c r="E354" s="33"/>
      <c r="F354" s="33"/>
      <c r="G354" s="33"/>
    </row>
    <row r="355" spans="1:7" x14ac:dyDescent="0.2">
      <c r="A355" s="5">
        <v>352</v>
      </c>
      <c r="B355" s="39"/>
      <c r="C355" s="31"/>
      <c r="D355" s="32"/>
      <c r="E355" s="33"/>
      <c r="F355" s="33"/>
      <c r="G355" s="33"/>
    </row>
    <row r="356" spans="1:7" x14ac:dyDescent="0.2">
      <c r="A356" s="5">
        <v>353</v>
      </c>
      <c r="B356" s="39"/>
      <c r="C356" s="31"/>
      <c r="D356" s="32"/>
      <c r="E356" s="33"/>
      <c r="F356" s="33"/>
      <c r="G356" s="33"/>
    </row>
    <row r="357" spans="1:7" x14ac:dyDescent="0.2">
      <c r="A357" s="5">
        <v>354</v>
      </c>
      <c r="B357" s="39"/>
      <c r="C357" s="31"/>
      <c r="D357" s="32"/>
      <c r="E357" s="33"/>
      <c r="F357" s="33"/>
      <c r="G357" s="33"/>
    </row>
    <row r="358" spans="1:7" x14ac:dyDescent="0.2">
      <c r="A358" s="5">
        <v>355</v>
      </c>
      <c r="B358" s="39"/>
      <c r="C358" s="31"/>
      <c r="D358" s="32"/>
      <c r="E358" s="33"/>
      <c r="F358" s="33"/>
      <c r="G358" s="33"/>
    </row>
    <row r="359" spans="1:7" x14ac:dyDescent="0.2">
      <c r="A359" s="5">
        <v>356</v>
      </c>
      <c r="B359" s="39"/>
      <c r="C359" s="31"/>
      <c r="D359" s="32"/>
      <c r="E359" s="33"/>
      <c r="F359" s="33"/>
      <c r="G359" s="33"/>
    </row>
    <row r="360" spans="1:7" x14ac:dyDescent="0.2">
      <c r="A360" s="5">
        <v>357</v>
      </c>
      <c r="B360" s="39"/>
      <c r="C360" s="31"/>
      <c r="D360" s="32"/>
      <c r="E360" s="33"/>
      <c r="F360" s="33"/>
      <c r="G360" s="33"/>
    </row>
    <row r="361" spans="1:7" x14ac:dyDescent="0.2">
      <c r="A361" s="5">
        <v>358</v>
      </c>
      <c r="B361" s="39"/>
      <c r="C361" s="31"/>
      <c r="D361" s="32"/>
      <c r="E361" s="33"/>
      <c r="F361" s="33"/>
      <c r="G361" s="33"/>
    </row>
    <row r="362" spans="1:7" x14ac:dyDescent="0.2">
      <c r="A362" s="5">
        <v>359</v>
      </c>
      <c r="B362" s="39"/>
      <c r="C362" s="31"/>
      <c r="D362" s="32"/>
      <c r="E362" s="33"/>
      <c r="F362" s="33"/>
      <c r="G362" s="33"/>
    </row>
    <row r="363" spans="1:7" x14ac:dyDescent="0.2">
      <c r="A363" s="5">
        <v>360</v>
      </c>
      <c r="B363" s="39"/>
      <c r="C363" s="31"/>
      <c r="D363" s="32"/>
      <c r="E363" s="33"/>
      <c r="F363" s="33"/>
      <c r="G363" s="33"/>
    </row>
    <row r="364" spans="1:7" x14ac:dyDescent="0.2">
      <c r="A364" s="5">
        <v>361</v>
      </c>
      <c r="B364" s="39"/>
      <c r="C364" s="31"/>
      <c r="D364" s="32"/>
      <c r="E364" s="33"/>
      <c r="F364" s="33"/>
      <c r="G364" s="33"/>
    </row>
    <row r="365" spans="1:7" x14ac:dyDescent="0.2">
      <c r="A365" s="5">
        <v>362</v>
      </c>
      <c r="B365" s="39"/>
      <c r="C365" s="31"/>
      <c r="D365" s="32"/>
      <c r="E365" s="33"/>
      <c r="F365" s="33"/>
      <c r="G365" s="33"/>
    </row>
    <row r="366" spans="1:7" x14ac:dyDescent="0.2">
      <c r="A366" s="5">
        <v>363</v>
      </c>
      <c r="B366" s="39"/>
      <c r="C366" s="31"/>
      <c r="D366" s="32"/>
      <c r="E366" s="33"/>
      <c r="F366" s="33"/>
      <c r="G366" s="33"/>
    </row>
    <row r="367" spans="1:7" x14ac:dyDescent="0.2">
      <c r="A367" s="5">
        <v>364</v>
      </c>
      <c r="B367" s="39"/>
      <c r="C367" s="31"/>
      <c r="D367" s="32"/>
      <c r="E367" s="33"/>
      <c r="F367" s="33"/>
      <c r="G367" s="33"/>
    </row>
    <row r="368" spans="1:7" x14ac:dyDescent="0.2">
      <c r="A368" s="5">
        <v>365</v>
      </c>
      <c r="B368" s="39"/>
      <c r="C368" s="31"/>
      <c r="D368" s="32"/>
      <c r="E368" s="33"/>
      <c r="F368" s="33"/>
      <c r="G368" s="33"/>
    </row>
    <row r="369" spans="1:7" x14ac:dyDescent="0.2">
      <c r="A369" s="5">
        <v>366</v>
      </c>
      <c r="B369" s="39"/>
      <c r="C369" s="31"/>
      <c r="D369" s="32"/>
      <c r="E369" s="33"/>
      <c r="F369" s="33"/>
      <c r="G369" s="33"/>
    </row>
    <row r="370" spans="1:7" x14ac:dyDescent="0.2">
      <c r="A370" s="5">
        <v>367</v>
      </c>
      <c r="B370" s="39"/>
      <c r="C370" s="31"/>
      <c r="D370" s="32"/>
      <c r="E370" s="33"/>
      <c r="F370" s="33"/>
      <c r="G370" s="33"/>
    </row>
    <row r="371" spans="1:7" x14ac:dyDescent="0.2">
      <c r="A371" s="5">
        <v>368</v>
      </c>
      <c r="B371" s="39"/>
      <c r="C371" s="31"/>
      <c r="D371" s="32"/>
      <c r="E371" s="33"/>
      <c r="F371" s="33"/>
      <c r="G371" s="33"/>
    </row>
    <row r="372" spans="1:7" x14ac:dyDescent="0.2">
      <c r="A372" s="5">
        <v>369</v>
      </c>
      <c r="B372" s="39"/>
      <c r="C372" s="31"/>
      <c r="D372" s="32"/>
      <c r="E372" s="33"/>
      <c r="F372" s="33"/>
      <c r="G372" s="33"/>
    </row>
    <row r="373" spans="1:7" x14ac:dyDescent="0.2">
      <c r="A373" s="5">
        <v>370</v>
      </c>
      <c r="B373" s="39"/>
      <c r="C373" s="31"/>
      <c r="D373" s="32"/>
      <c r="E373" s="33"/>
      <c r="F373" s="33"/>
      <c r="G373" s="33"/>
    </row>
    <row r="374" spans="1:7" x14ac:dyDescent="0.2">
      <c r="A374" s="5">
        <v>371</v>
      </c>
      <c r="B374" s="39"/>
      <c r="C374" s="31"/>
      <c r="D374" s="32"/>
      <c r="E374" s="33"/>
      <c r="F374" s="33"/>
      <c r="G374" s="33"/>
    </row>
    <row r="375" spans="1:7" x14ac:dyDescent="0.2">
      <c r="A375" s="5">
        <v>372</v>
      </c>
      <c r="B375" s="39"/>
      <c r="C375" s="31"/>
      <c r="D375" s="32"/>
      <c r="E375" s="33"/>
      <c r="F375" s="33"/>
      <c r="G375" s="33"/>
    </row>
    <row r="376" spans="1:7" x14ac:dyDescent="0.2">
      <c r="A376" s="5">
        <v>373</v>
      </c>
      <c r="B376" s="39"/>
      <c r="C376" s="31"/>
      <c r="D376" s="32"/>
      <c r="E376" s="33"/>
      <c r="F376" s="33"/>
      <c r="G376" s="33"/>
    </row>
    <row r="377" spans="1:7" x14ac:dyDescent="0.2">
      <c r="A377" s="5">
        <v>374</v>
      </c>
      <c r="B377" s="39"/>
      <c r="C377" s="31"/>
      <c r="D377" s="32"/>
      <c r="E377" s="33"/>
      <c r="F377" s="33"/>
      <c r="G377" s="33"/>
    </row>
    <row r="378" spans="1:7" x14ac:dyDescent="0.2">
      <c r="A378" s="5">
        <v>375</v>
      </c>
      <c r="B378" s="39"/>
      <c r="C378" s="31"/>
      <c r="D378" s="32"/>
      <c r="E378" s="33"/>
      <c r="F378" s="33"/>
      <c r="G378" s="33"/>
    </row>
    <row r="379" spans="1:7" x14ac:dyDescent="0.2">
      <c r="A379" s="5">
        <v>376</v>
      </c>
      <c r="B379" s="39"/>
      <c r="C379" s="31"/>
      <c r="D379" s="32"/>
      <c r="E379" s="33"/>
      <c r="F379" s="33"/>
      <c r="G379" s="33"/>
    </row>
    <row r="380" spans="1:7" x14ac:dyDescent="0.2">
      <c r="A380" s="5">
        <v>377</v>
      </c>
      <c r="B380" s="39"/>
      <c r="C380" s="31"/>
      <c r="D380" s="32"/>
      <c r="E380" s="33"/>
      <c r="F380" s="33"/>
      <c r="G380" s="33"/>
    </row>
    <row r="381" spans="1:7" x14ac:dyDescent="0.2">
      <c r="A381" s="5">
        <v>378</v>
      </c>
      <c r="B381" s="39"/>
      <c r="C381" s="31"/>
      <c r="D381" s="32"/>
      <c r="E381" s="33"/>
      <c r="F381" s="33"/>
      <c r="G381" s="33"/>
    </row>
    <row r="382" spans="1:7" x14ac:dyDescent="0.2">
      <c r="A382" s="5">
        <v>379</v>
      </c>
      <c r="B382" s="39"/>
      <c r="C382" s="31"/>
      <c r="D382" s="32"/>
      <c r="E382" s="33"/>
      <c r="F382" s="33"/>
      <c r="G382" s="33"/>
    </row>
    <row r="383" spans="1:7" x14ac:dyDescent="0.2">
      <c r="A383" s="5">
        <v>380</v>
      </c>
      <c r="B383" s="39"/>
      <c r="C383" s="31"/>
      <c r="D383" s="32"/>
      <c r="E383" s="33"/>
      <c r="F383" s="33"/>
      <c r="G383" s="33"/>
    </row>
    <row r="384" spans="1:7" x14ac:dyDescent="0.2">
      <c r="A384" s="5">
        <v>381</v>
      </c>
      <c r="B384" s="39"/>
      <c r="C384" s="31"/>
      <c r="D384" s="32"/>
      <c r="E384" s="33"/>
      <c r="F384" s="33"/>
      <c r="G384" s="33"/>
    </row>
    <row r="385" spans="1:7" x14ac:dyDescent="0.2">
      <c r="A385" s="5">
        <v>382</v>
      </c>
      <c r="B385" s="39"/>
      <c r="C385" s="31"/>
      <c r="D385" s="32"/>
      <c r="E385" s="33"/>
      <c r="F385" s="33"/>
      <c r="G385" s="33"/>
    </row>
    <row r="386" spans="1:7" x14ac:dyDescent="0.2">
      <c r="A386" s="5">
        <v>383</v>
      </c>
      <c r="B386" s="39"/>
      <c r="C386" s="31"/>
      <c r="D386" s="32"/>
      <c r="E386" s="33"/>
      <c r="F386" s="33"/>
      <c r="G386" s="33"/>
    </row>
    <row r="387" spans="1:7" x14ac:dyDescent="0.2">
      <c r="A387" s="5">
        <v>384</v>
      </c>
      <c r="B387" s="39"/>
      <c r="C387" s="31"/>
      <c r="D387" s="32"/>
      <c r="E387" s="33"/>
      <c r="F387" s="33"/>
      <c r="G387" s="33"/>
    </row>
    <row r="388" spans="1:7" x14ac:dyDescent="0.2">
      <c r="A388" s="5">
        <v>385</v>
      </c>
      <c r="B388" s="39"/>
      <c r="C388" s="31"/>
      <c r="D388" s="32"/>
      <c r="E388" s="33"/>
      <c r="F388" s="33"/>
      <c r="G388" s="33"/>
    </row>
    <row r="389" spans="1:7" x14ac:dyDescent="0.2">
      <c r="A389" s="5">
        <v>386</v>
      </c>
      <c r="B389" s="39"/>
      <c r="C389" s="31"/>
      <c r="D389" s="32"/>
      <c r="E389" s="33"/>
      <c r="F389" s="33"/>
      <c r="G389" s="33"/>
    </row>
    <row r="390" spans="1:7" x14ac:dyDescent="0.2">
      <c r="A390" s="5">
        <v>387</v>
      </c>
      <c r="B390" s="39"/>
      <c r="C390" s="31"/>
      <c r="D390" s="32"/>
      <c r="E390" s="33"/>
      <c r="F390" s="33"/>
      <c r="G390" s="33"/>
    </row>
    <row r="391" spans="1:7" x14ac:dyDescent="0.2">
      <c r="A391" s="5">
        <v>388</v>
      </c>
      <c r="B391" s="39"/>
      <c r="C391" s="31"/>
      <c r="D391" s="32"/>
      <c r="E391" s="33"/>
      <c r="F391" s="33"/>
      <c r="G391" s="33"/>
    </row>
    <row r="392" spans="1:7" x14ac:dyDescent="0.2">
      <c r="A392" s="5">
        <v>389</v>
      </c>
      <c r="B392" s="39"/>
      <c r="C392" s="31"/>
      <c r="D392" s="32"/>
      <c r="E392" s="33"/>
      <c r="F392" s="33"/>
      <c r="G392" s="33"/>
    </row>
    <row r="393" spans="1:7" x14ac:dyDescent="0.2">
      <c r="A393" s="5">
        <v>390</v>
      </c>
      <c r="B393" s="39"/>
      <c r="C393" s="31"/>
      <c r="D393" s="32"/>
      <c r="E393" s="33"/>
      <c r="F393" s="33"/>
      <c r="G393" s="33"/>
    </row>
    <row r="394" spans="1:7" x14ac:dyDescent="0.2">
      <c r="A394" s="5">
        <v>391</v>
      </c>
      <c r="B394" s="39"/>
      <c r="C394" s="31"/>
      <c r="D394" s="32"/>
      <c r="E394" s="33"/>
      <c r="F394" s="33"/>
      <c r="G394" s="33"/>
    </row>
    <row r="395" spans="1:7" x14ac:dyDescent="0.2">
      <c r="A395" s="5">
        <v>392</v>
      </c>
      <c r="B395" s="39"/>
      <c r="C395" s="31"/>
      <c r="D395" s="32"/>
      <c r="E395" s="33"/>
      <c r="F395" s="33"/>
      <c r="G395" s="33"/>
    </row>
    <row r="396" spans="1:7" x14ac:dyDescent="0.2">
      <c r="A396" s="5">
        <v>393</v>
      </c>
      <c r="B396" s="39"/>
      <c r="C396" s="31"/>
      <c r="D396" s="32"/>
      <c r="E396" s="33"/>
      <c r="F396" s="33"/>
      <c r="G396" s="33"/>
    </row>
    <row r="397" spans="1:7" x14ac:dyDescent="0.2">
      <c r="A397" s="5">
        <v>394</v>
      </c>
      <c r="B397" s="39"/>
      <c r="C397" s="31"/>
      <c r="D397" s="32"/>
      <c r="E397" s="33"/>
      <c r="F397" s="33"/>
      <c r="G397" s="33"/>
    </row>
    <row r="398" spans="1:7" x14ac:dyDescent="0.2">
      <c r="A398" s="5">
        <v>395</v>
      </c>
      <c r="B398" s="39"/>
      <c r="C398" s="31"/>
      <c r="D398" s="32"/>
      <c r="E398" s="33"/>
      <c r="F398" s="33"/>
      <c r="G398" s="33"/>
    </row>
    <row r="399" spans="1:7" x14ac:dyDescent="0.2">
      <c r="A399" s="5">
        <v>396</v>
      </c>
      <c r="B399" s="39"/>
      <c r="C399" s="31"/>
      <c r="D399" s="32"/>
      <c r="E399" s="33"/>
      <c r="F399" s="33"/>
      <c r="G399" s="33"/>
    </row>
    <row r="400" spans="1:7" x14ac:dyDescent="0.2">
      <c r="A400" s="5">
        <v>397</v>
      </c>
      <c r="B400" s="39"/>
      <c r="C400" s="31"/>
      <c r="D400" s="32"/>
      <c r="E400" s="33"/>
      <c r="F400" s="33"/>
      <c r="G400" s="33"/>
    </row>
    <row r="401" spans="1:7" x14ac:dyDescent="0.2">
      <c r="A401" s="5">
        <v>398</v>
      </c>
      <c r="B401" s="39"/>
      <c r="C401" s="31"/>
      <c r="D401" s="32"/>
      <c r="E401" s="33"/>
      <c r="F401" s="33"/>
      <c r="G401" s="33"/>
    </row>
    <row r="402" spans="1:7" x14ac:dyDescent="0.2">
      <c r="A402" s="5">
        <v>399</v>
      </c>
      <c r="B402" s="39"/>
      <c r="C402" s="31"/>
      <c r="D402" s="32"/>
      <c r="E402" s="33"/>
      <c r="F402" s="33"/>
      <c r="G402" s="33"/>
    </row>
    <row r="403" spans="1:7" x14ac:dyDescent="0.2">
      <c r="A403" s="5">
        <v>400</v>
      </c>
      <c r="B403" s="39"/>
      <c r="C403" s="31"/>
      <c r="D403" s="32"/>
      <c r="E403" s="33"/>
      <c r="F403" s="33"/>
      <c r="G403" s="33"/>
    </row>
    <row r="404" spans="1:7" x14ac:dyDescent="0.2">
      <c r="A404" s="5">
        <v>401</v>
      </c>
      <c r="B404" s="39"/>
      <c r="C404" s="31"/>
      <c r="D404" s="32"/>
      <c r="E404" s="33"/>
      <c r="F404" s="33"/>
      <c r="G404" s="33"/>
    </row>
    <row r="405" spans="1:7" x14ac:dyDescent="0.2">
      <c r="A405" s="5">
        <v>402</v>
      </c>
      <c r="B405" s="39"/>
      <c r="C405" s="31"/>
      <c r="D405" s="32"/>
      <c r="E405" s="33"/>
      <c r="F405" s="33"/>
      <c r="G405" s="33"/>
    </row>
    <row r="406" spans="1:7" x14ac:dyDescent="0.2">
      <c r="A406" s="5">
        <v>403</v>
      </c>
      <c r="B406" s="39"/>
      <c r="C406" s="31"/>
      <c r="D406" s="32"/>
      <c r="E406" s="33"/>
      <c r="F406" s="33"/>
      <c r="G406" s="33"/>
    </row>
    <row r="407" spans="1:7" x14ac:dyDescent="0.2">
      <c r="A407" s="5">
        <v>404</v>
      </c>
      <c r="B407" s="39"/>
      <c r="C407" s="31"/>
      <c r="D407" s="32"/>
      <c r="E407" s="33"/>
      <c r="F407" s="33"/>
      <c r="G407" s="33"/>
    </row>
    <row r="408" spans="1:7" x14ac:dyDescent="0.2">
      <c r="A408" s="5">
        <v>405</v>
      </c>
      <c r="B408" s="39"/>
      <c r="C408" s="31"/>
      <c r="D408" s="32"/>
      <c r="E408" s="33"/>
      <c r="F408" s="33"/>
      <c r="G408" s="33"/>
    </row>
    <row r="409" spans="1:7" x14ac:dyDescent="0.2">
      <c r="A409" s="5">
        <v>406</v>
      </c>
      <c r="B409" s="39"/>
      <c r="C409" s="31"/>
      <c r="D409" s="32"/>
      <c r="E409" s="33"/>
      <c r="F409" s="33"/>
      <c r="G409" s="33"/>
    </row>
    <row r="410" spans="1:7" x14ac:dyDescent="0.2">
      <c r="A410" s="5">
        <v>407</v>
      </c>
      <c r="B410" s="39"/>
      <c r="C410" s="31"/>
      <c r="D410" s="32"/>
      <c r="E410" s="33"/>
      <c r="F410" s="33"/>
      <c r="G410" s="33"/>
    </row>
    <row r="411" spans="1:7" x14ac:dyDescent="0.2">
      <c r="A411" s="5">
        <v>408</v>
      </c>
      <c r="B411" s="39"/>
      <c r="C411" s="31"/>
      <c r="D411" s="32"/>
      <c r="E411" s="33"/>
      <c r="F411" s="33"/>
      <c r="G411" s="33"/>
    </row>
    <row r="412" spans="1:7" x14ac:dyDescent="0.2">
      <c r="A412" s="5">
        <v>409</v>
      </c>
      <c r="B412" s="39"/>
      <c r="C412" s="31"/>
      <c r="D412" s="32"/>
      <c r="E412" s="33"/>
      <c r="F412" s="33"/>
      <c r="G412" s="33"/>
    </row>
    <row r="413" spans="1:7" x14ac:dyDescent="0.2">
      <c r="A413" s="5">
        <v>410</v>
      </c>
      <c r="B413" s="39"/>
      <c r="C413" s="31"/>
      <c r="D413" s="32"/>
      <c r="E413" s="33"/>
      <c r="F413" s="33"/>
      <c r="G413" s="33"/>
    </row>
    <row r="414" spans="1:7" x14ac:dyDescent="0.2">
      <c r="A414" s="5">
        <v>411</v>
      </c>
      <c r="B414" s="39"/>
      <c r="C414" s="31"/>
      <c r="D414" s="32"/>
      <c r="E414" s="33"/>
      <c r="F414" s="33"/>
      <c r="G414" s="33"/>
    </row>
    <row r="415" spans="1:7" x14ac:dyDescent="0.2">
      <c r="A415" s="5">
        <v>412</v>
      </c>
      <c r="B415" s="39"/>
      <c r="C415" s="31"/>
      <c r="D415" s="32"/>
      <c r="E415" s="33"/>
      <c r="F415" s="33"/>
      <c r="G415" s="33"/>
    </row>
    <row r="416" spans="1:7" x14ac:dyDescent="0.2">
      <c r="A416" s="5">
        <v>413</v>
      </c>
      <c r="B416" s="39"/>
      <c r="C416" s="31"/>
      <c r="D416" s="32"/>
      <c r="E416" s="33"/>
      <c r="F416" s="33"/>
      <c r="G416" s="33"/>
    </row>
    <row r="417" spans="1:7" x14ac:dyDescent="0.2">
      <c r="A417" s="5">
        <v>414</v>
      </c>
      <c r="B417" s="39"/>
      <c r="C417" s="31"/>
      <c r="D417" s="32"/>
      <c r="E417" s="33"/>
      <c r="F417" s="33"/>
      <c r="G417" s="33"/>
    </row>
    <row r="418" spans="1:7" x14ac:dyDescent="0.2">
      <c r="A418" s="5">
        <v>415</v>
      </c>
      <c r="B418" s="39"/>
      <c r="C418" s="31"/>
      <c r="D418" s="32"/>
      <c r="E418" s="33"/>
      <c r="F418" s="33"/>
      <c r="G418" s="33"/>
    </row>
    <row r="419" spans="1:7" x14ac:dyDescent="0.2">
      <c r="A419" s="5">
        <v>416</v>
      </c>
      <c r="B419" s="39"/>
      <c r="C419" s="31"/>
      <c r="D419" s="32"/>
      <c r="E419" s="33"/>
      <c r="F419" s="33"/>
      <c r="G419" s="33"/>
    </row>
    <row r="420" spans="1:7" x14ac:dyDescent="0.2">
      <c r="A420" s="5">
        <v>417</v>
      </c>
      <c r="B420" s="39"/>
      <c r="C420" s="31"/>
      <c r="D420" s="32"/>
      <c r="E420" s="33"/>
      <c r="F420" s="33"/>
      <c r="G420" s="33"/>
    </row>
    <row r="421" spans="1:7" x14ac:dyDescent="0.2">
      <c r="A421" s="5">
        <v>418</v>
      </c>
      <c r="B421" s="39"/>
      <c r="C421" s="31"/>
      <c r="D421" s="32"/>
      <c r="E421" s="33"/>
      <c r="F421" s="33"/>
      <c r="G421" s="33"/>
    </row>
    <row r="422" spans="1:7" x14ac:dyDescent="0.2">
      <c r="A422" s="5">
        <v>419</v>
      </c>
      <c r="B422" s="39"/>
      <c r="C422" s="31"/>
      <c r="D422" s="32"/>
      <c r="E422" s="33"/>
      <c r="F422" s="33"/>
      <c r="G422" s="33"/>
    </row>
    <row r="423" spans="1:7" x14ac:dyDescent="0.2">
      <c r="A423" s="5">
        <v>420</v>
      </c>
      <c r="B423" s="39"/>
      <c r="C423" s="31"/>
      <c r="D423" s="32"/>
      <c r="E423" s="33"/>
      <c r="F423" s="33"/>
      <c r="G423" s="33"/>
    </row>
    <row r="424" spans="1:7" x14ac:dyDescent="0.2">
      <c r="A424" s="5">
        <v>421</v>
      </c>
      <c r="B424" s="39"/>
      <c r="C424" s="31"/>
      <c r="D424" s="32"/>
      <c r="E424" s="33"/>
      <c r="F424" s="33"/>
      <c r="G424" s="33"/>
    </row>
    <row r="425" spans="1:7" x14ac:dyDescent="0.2">
      <c r="A425" s="5">
        <v>422</v>
      </c>
      <c r="B425" s="39"/>
      <c r="C425" s="31"/>
      <c r="D425" s="32"/>
      <c r="E425" s="33"/>
      <c r="F425" s="33"/>
      <c r="G425" s="33"/>
    </row>
    <row r="426" spans="1:7" x14ac:dyDescent="0.2">
      <c r="A426" s="5">
        <v>423</v>
      </c>
      <c r="B426" s="39"/>
      <c r="C426" s="31"/>
      <c r="D426" s="32"/>
      <c r="E426" s="33"/>
      <c r="F426" s="33"/>
      <c r="G426" s="33"/>
    </row>
    <row r="427" spans="1:7" x14ac:dyDescent="0.2">
      <c r="A427" s="5">
        <v>424</v>
      </c>
      <c r="B427" s="39"/>
      <c r="C427" s="31"/>
      <c r="D427" s="32"/>
      <c r="E427" s="33"/>
      <c r="F427" s="33"/>
      <c r="G427" s="33"/>
    </row>
    <row r="428" spans="1:7" x14ac:dyDescent="0.2">
      <c r="A428" s="5">
        <v>425</v>
      </c>
      <c r="B428" s="39"/>
      <c r="C428" s="31"/>
      <c r="D428" s="32"/>
      <c r="E428" s="33"/>
      <c r="F428" s="33"/>
      <c r="G428" s="33"/>
    </row>
    <row r="429" spans="1:7" x14ac:dyDescent="0.2">
      <c r="A429" s="5">
        <v>426</v>
      </c>
      <c r="B429" s="39"/>
      <c r="C429" s="31"/>
      <c r="D429" s="32"/>
      <c r="E429" s="33"/>
      <c r="F429" s="33"/>
      <c r="G429" s="33"/>
    </row>
    <row r="430" spans="1:7" x14ac:dyDescent="0.2">
      <c r="A430" s="5">
        <v>427</v>
      </c>
      <c r="B430" s="39"/>
      <c r="C430" s="31"/>
      <c r="D430" s="32"/>
      <c r="E430" s="33"/>
      <c r="F430" s="33"/>
      <c r="G430" s="33"/>
    </row>
    <row r="431" spans="1:7" x14ac:dyDescent="0.2">
      <c r="A431" s="5">
        <v>428</v>
      </c>
      <c r="B431" s="39"/>
      <c r="C431" s="31"/>
      <c r="D431" s="32"/>
      <c r="E431" s="33"/>
      <c r="F431" s="33"/>
      <c r="G431" s="33"/>
    </row>
    <row r="432" spans="1:7" x14ac:dyDescent="0.2">
      <c r="A432" s="5">
        <v>429</v>
      </c>
      <c r="B432" s="39"/>
      <c r="C432" s="31"/>
      <c r="D432" s="32"/>
      <c r="E432" s="33"/>
      <c r="F432" s="33"/>
      <c r="G432" s="33"/>
    </row>
    <row r="433" spans="1:7" x14ac:dyDescent="0.2">
      <c r="A433" s="5">
        <v>430</v>
      </c>
      <c r="B433" s="39"/>
      <c r="C433" s="31"/>
      <c r="D433" s="32"/>
      <c r="E433" s="33"/>
      <c r="F433" s="33"/>
      <c r="G433" s="33"/>
    </row>
    <row r="434" spans="1:7" x14ac:dyDescent="0.2">
      <c r="A434" s="5">
        <v>431</v>
      </c>
      <c r="B434" s="39"/>
      <c r="C434" s="31"/>
      <c r="D434" s="32"/>
      <c r="E434" s="33"/>
      <c r="F434" s="33"/>
      <c r="G434" s="33"/>
    </row>
    <row r="435" spans="1:7" x14ac:dyDescent="0.2">
      <c r="A435" s="5">
        <v>432</v>
      </c>
      <c r="B435" s="39"/>
      <c r="C435" s="31"/>
      <c r="D435" s="32"/>
      <c r="E435" s="33"/>
      <c r="F435" s="33"/>
      <c r="G435" s="33"/>
    </row>
    <row r="436" spans="1:7" x14ac:dyDescent="0.2">
      <c r="A436" s="5">
        <v>433</v>
      </c>
      <c r="B436" s="39"/>
      <c r="C436" s="31"/>
      <c r="D436" s="32"/>
      <c r="E436" s="33"/>
      <c r="F436" s="33"/>
      <c r="G436" s="33"/>
    </row>
    <row r="437" spans="1:7" x14ac:dyDescent="0.2">
      <c r="A437" s="5">
        <v>434</v>
      </c>
      <c r="B437" s="39"/>
      <c r="C437" s="31"/>
      <c r="D437" s="32"/>
      <c r="E437" s="33"/>
      <c r="F437" s="33"/>
      <c r="G437" s="33"/>
    </row>
    <row r="438" spans="1:7" x14ac:dyDescent="0.2">
      <c r="A438" s="5">
        <v>435</v>
      </c>
      <c r="B438" s="39"/>
      <c r="C438" s="31"/>
      <c r="D438" s="32"/>
      <c r="E438" s="33"/>
      <c r="F438" s="33"/>
      <c r="G438" s="33"/>
    </row>
    <row r="439" spans="1:7" x14ac:dyDescent="0.2">
      <c r="A439" s="5">
        <v>436</v>
      </c>
      <c r="B439" s="39"/>
      <c r="C439" s="31"/>
      <c r="D439" s="32"/>
      <c r="E439" s="33"/>
      <c r="F439" s="33"/>
      <c r="G439" s="33"/>
    </row>
    <row r="440" spans="1:7" x14ac:dyDescent="0.2">
      <c r="A440" s="5">
        <v>437</v>
      </c>
      <c r="B440" s="39"/>
      <c r="C440" s="31"/>
      <c r="D440" s="32"/>
      <c r="E440" s="33"/>
      <c r="F440" s="33"/>
      <c r="G440" s="33"/>
    </row>
    <row r="441" spans="1:7" x14ac:dyDescent="0.2">
      <c r="A441" s="5">
        <v>438</v>
      </c>
      <c r="B441" s="39"/>
      <c r="C441" s="31"/>
      <c r="D441" s="32"/>
      <c r="E441" s="33"/>
      <c r="F441" s="33"/>
      <c r="G441" s="33"/>
    </row>
    <row r="442" spans="1:7" x14ac:dyDescent="0.2">
      <c r="A442" s="5">
        <v>439</v>
      </c>
      <c r="B442" s="39"/>
      <c r="C442" s="31"/>
      <c r="D442" s="32"/>
      <c r="E442" s="33"/>
      <c r="F442" s="33"/>
      <c r="G442" s="33"/>
    </row>
    <row r="443" spans="1:7" x14ac:dyDescent="0.2">
      <c r="A443" s="5">
        <v>440</v>
      </c>
      <c r="B443" s="39"/>
      <c r="C443" s="31"/>
      <c r="D443" s="32"/>
      <c r="E443" s="33"/>
      <c r="F443" s="33"/>
      <c r="G443" s="33"/>
    </row>
    <row r="444" spans="1:7" x14ac:dyDescent="0.2">
      <c r="A444" s="5">
        <v>441</v>
      </c>
      <c r="B444" s="39"/>
      <c r="C444" s="31"/>
      <c r="D444" s="32"/>
      <c r="E444" s="33"/>
      <c r="F444" s="33"/>
      <c r="G444" s="33"/>
    </row>
    <row r="445" spans="1:7" x14ac:dyDescent="0.2">
      <c r="A445" s="5">
        <v>442</v>
      </c>
      <c r="B445" s="39"/>
      <c r="C445" s="31"/>
      <c r="D445" s="32"/>
      <c r="E445" s="33"/>
      <c r="F445" s="33"/>
      <c r="G445" s="33"/>
    </row>
    <row r="446" spans="1:7" x14ac:dyDescent="0.2">
      <c r="A446" s="5">
        <v>443</v>
      </c>
      <c r="B446" s="39"/>
      <c r="C446" s="31"/>
      <c r="D446" s="32"/>
      <c r="E446" s="33"/>
      <c r="F446" s="33"/>
      <c r="G446" s="33"/>
    </row>
    <row r="447" spans="1:7" x14ac:dyDescent="0.2">
      <c r="A447" s="5">
        <v>444</v>
      </c>
      <c r="B447" s="39"/>
      <c r="C447" s="31"/>
      <c r="D447" s="32"/>
      <c r="E447" s="33"/>
      <c r="F447" s="33"/>
      <c r="G447" s="33"/>
    </row>
    <row r="448" spans="1:7" x14ac:dyDescent="0.2">
      <c r="A448" s="5">
        <v>445</v>
      </c>
      <c r="B448" s="39"/>
      <c r="C448" s="31"/>
      <c r="D448" s="32"/>
      <c r="E448" s="33"/>
      <c r="F448" s="33"/>
      <c r="G448" s="33"/>
    </row>
    <row r="449" spans="1:7" x14ac:dyDescent="0.2">
      <c r="A449" s="5">
        <v>446</v>
      </c>
      <c r="B449" s="39"/>
      <c r="C449" s="31"/>
      <c r="D449" s="32"/>
      <c r="E449" s="33"/>
      <c r="F449" s="33"/>
      <c r="G449" s="33"/>
    </row>
    <row r="450" spans="1:7" x14ac:dyDescent="0.2">
      <c r="A450" s="5">
        <v>447</v>
      </c>
      <c r="B450" s="39"/>
      <c r="C450" s="31"/>
      <c r="D450" s="32"/>
      <c r="E450" s="33"/>
      <c r="F450" s="33"/>
      <c r="G450" s="33"/>
    </row>
    <row r="451" spans="1:7" x14ac:dyDescent="0.2">
      <c r="A451" s="5">
        <v>448</v>
      </c>
      <c r="B451" s="39"/>
      <c r="C451" s="31"/>
      <c r="D451" s="32"/>
      <c r="E451" s="33"/>
      <c r="F451" s="33"/>
      <c r="G451" s="33"/>
    </row>
    <row r="452" spans="1:7" x14ac:dyDescent="0.2">
      <c r="A452" s="5">
        <v>449</v>
      </c>
      <c r="B452" s="39"/>
      <c r="C452" s="31"/>
      <c r="D452" s="32"/>
      <c r="E452" s="33"/>
      <c r="F452" s="33"/>
      <c r="G452" s="33"/>
    </row>
    <row r="453" spans="1:7" x14ac:dyDescent="0.2">
      <c r="A453" s="5">
        <v>450</v>
      </c>
      <c r="B453" s="39"/>
      <c r="C453" s="31"/>
      <c r="D453" s="32"/>
      <c r="E453" s="33"/>
      <c r="F453" s="33"/>
      <c r="G453" s="33"/>
    </row>
    <row r="454" spans="1:7" x14ac:dyDescent="0.2">
      <c r="A454" s="5">
        <v>451</v>
      </c>
      <c r="B454" s="39"/>
      <c r="C454" s="31"/>
      <c r="D454" s="32"/>
      <c r="E454" s="33"/>
      <c r="F454" s="33"/>
      <c r="G454" s="33"/>
    </row>
    <row r="455" spans="1:7" x14ac:dyDescent="0.2">
      <c r="A455" s="5">
        <v>452</v>
      </c>
      <c r="B455" s="39"/>
      <c r="C455" s="31"/>
      <c r="D455" s="32"/>
      <c r="E455" s="33"/>
      <c r="F455" s="33"/>
      <c r="G455" s="33"/>
    </row>
    <row r="456" spans="1:7" x14ac:dyDescent="0.2">
      <c r="A456" s="5">
        <v>453</v>
      </c>
      <c r="B456" s="39"/>
      <c r="C456" s="31"/>
      <c r="D456" s="32"/>
      <c r="E456" s="33"/>
      <c r="F456" s="33"/>
      <c r="G456" s="33"/>
    </row>
    <row r="457" spans="1:7" x14ac:dyDescent="0.2">
      <c r="A457" s="5">
        <v>454</v>
      </c>
      <c r="B457" s="39"/>
      <c r="C457" s="31"/>
      <c r="D457" s="32"/>
      <c r="E457" s="33"/>
      <c r="F457" s="33"/>
      <c r="G457" s="33"/>
    </row>
    <row r="458" spans="1:7" x14ac:dyDescent="0.2">
      <c r="A458" s="5">
        <v>455</v>
      </c>
      <c r="B458" s="39"/>
      <c r="C458" s="31"/>
      <c r="D458" s="32"/>
      <c r="E458" s="33"/>
      <c r="F458" s="33"/>
      <c r="G458" s="33"/>
    </row>
    <row r="459" spans="1:7" x14ac:dyDescent="0.2">
      <c r="A459" s="5">
        <v>456</v>
      </c>
      <c r="B459" s="39"/>
      <c r="C459" s="31"/>
      <c r="D459" s="32"/>
      <c r="E459" s="33"/>
      <c r="F459" s="33"/>
      <c r="G459" s="33"/>
    </row>
    <row r="460" spans="1:7" x14ac:dyDescent="0.2">
      <c r="A460" s="5">
        <v>457</v>
      </c>
      <c r="B460" s="39"/>
      <c r="C460" s="31"/>
      <c r="D460" s="32"/>
      <c r="E460" s="33"/>
      <c r="F460" s="33"/>
      <c r="G460" s="33"/>
    </row>
    <row r="461" spans="1:7" x14ac:dyDescent="0.2">
      <c r="A461" s="5">
        <v>458</v>
      </c>
      <c r="B461" s="39"/>
      <c r="C461" s="31"/>
      <c r="D461" s="32"/>
      <c r="E461" s="33"/>
      <c r="F461" s="33"/>
      <c r="G461" s="33"/>
    </row>
    <row r="462" spans="1:7" x14ac:dyDescent="0.2">
      <c r="A462" s="5">
        <v>459</v>
      </c>
      <c r="B462" s="39"/>
      <c r="C462" s="31"/>
      <c r="D462" s="32"/>
      <c r="E462" s="33"/>
      <c r="F462" s="33"/>
      <c r="G462" s="33"/>
    </row>
    <row r="463" spans="1:7" x14ac:dyDescent="0.2">
      <c r="A463" s="5">
        <v>460</v>
      </c>
      <c r="B463" s="39"/>
      <c r="C463" s="31"/>
      <c r="D463" s="32"/>
      <c r="E463" s="33"/>
      <c r="F463" s="33"/>
      <c r="G463" s="33"/>
    </row>
    <row r="464" spans="1:7" x14ac:dyDescent="0.2">
      <c r="A464" s="5">
        <v>461</v>
      </c>
      <c r="B464" s="39"/>
      <c r="C464" s="31"/>
      <c r="D464" s="32"/>
      <c r="E464" s="33"/>
      <c r="F464" s="33"/>
      <c r="G464" s="33"/>
    </row>
    <row r="465" spans="1:7" x14ac:dyDescent="0.2">
      <c r="A465" s="5">
        <v>462</v>
      </c>
      <c r="B465" s="39"/>
      <c r="C465" s="31"/>
      <c r="D465" s="32"/>
      <c r="E465" s="33"/>
      <c r="F465" s="33"/>
      <c r="G465" s="33"/>
    </row>
    <row r="466" spans="1:7" x14ac:dyDescent="0.2">
      <c r="A466" s="5">
        <v>463</v>
      </c>
      <c r="B466" s="39"/>
      <c r="C466" s="31"/>
      <c r="D466" s="32"/>
      <c r="E466" s="33"/>
      <c r="F466" s="33"/>
      <c r="G466" s="33"/>
    </row>
    <row r="467" spans="1:7" x14ac:dyDescent="0.2">
      <c r="A467" s="5">
        <v>464</v>
      </c>
      <c r="B467" s="39"/>
      <c r="C467" s="31"/>
      <c r="D467" s="32"/>
      <c r="E467" s="33"/>
      <c r="F467" s="33"/>
      <c r="G467" s="33"/>
    </row>
    <row r="468" spans="1:7" x14ac:dyDescent="0.2">
      <c r="A468" s="5">
        <v>465</v>
      </c>
      <c r="B468" s="39"/>
      <c r="C468" s="31"/>
      <c r="D468" s="32"/>
      <c r="E468" s="33"/>
      <c r="F468" s="33"/>
      <c r="G468" s="33"/>
    </row>
    <row r="469" spans="1:7" x14ac:dyDescent="0.2">
      <c r="A469" s="5">
        <v>466</v>
      </c>
      <c r="B469" s="39"/>
      <c r="C469" s="31"/>
      <c r="D469" s="32"/>
      <c r="E469" s="33"/>
      <c r="F469" s="33"/>
      <c r="G469" s="33"/>
    </row>
    <row r="470" spans="1:7" x14ac:dyDescent="0.2">
      <c r="A470" s="5">
        <v>467</v>
      </c>
      <c r="B470" s="39"/>
      <c r="C470" s="31"/>
      <c r="D470" s="32"/>
      <c r="E470" s="33"/>
      <c r="F470" s="33"/>
      <c r="G470" s="33"/>
    </row>
    <row r="471" spans="1:7" x14ac:dyDescent="0.2">
      <c r="A471" s="5">
        <v>468</v>
      </c>
      <c r="B471" s="39"/>
      <c r="C471" s="31"/>
      <c r="D471" s="32"/>
      <c r="E471" s="33"/>
      <c r="F471" s="33"/>
      <c r="G471" s="33"/>
    </row>
    <row r="472" spans="1:7" x14ac:dyDescent="0.2">
      <c r="A472" s="5">
        <v>469</v>
      </c>
      <c r="B472" s="39"/>
      <c r="C472" s="31"/>
      <c r="D472" s="32"/>
      <c r="E472" s="33"/>
      <c r="F472" s="33"/>
      <c r="G472" s="33"/>
    </row>
    <row r="473" spans="1:7" x14ac:dyDescent="0.2">
      <c r="A473" s="5">
        <v>470</v>
      </c>
      <c r="B473" s="39"/>
      <c r="C473" s="31"/>
      <c r="D473" s="32"/>
      <c r="E473" s="33"/>
      <c r="F473" s="33"/>
      <c r="G473" s="33"/>
    </row>
    <row r="474" spans="1:7" x14ac:dyDescent="0.2">
      <c r="A474" s="5">
        <v>471</v>
      </c>
      <c r="B474" s="39"/>
      <c r="C474" s="31"/>
      <c r="D474" s="32"/>
      <c r="E474" s="33"/>
      <c r="F474" s="33"/>
      <c r="G474" s="33"/>
    </row>
    <row r="475" spans="1:7" x14ac:dyDescent="0.2">
      <c r="A475" s="5">
        <v>472</v>
      </c>
      <c r="B475" s="39"/>
      <c r="C475" s="31"/>
      <c r="D475" s="32"/>
      <c r="E475" s="33"/>
      <c r="F475" s="33"/>
      <c r="G475" s="33"/>
    </row>
    <row r="476" spans="1:7" x14ac:dyDescent="0.2">
      <c r="A476" s="5">
        <v>473</v>
      </c>
      <c r="B476" s="39"/>
      <c r="C476" s="31"/>
      <c r="D476" s="32"/>
      <c r="E476" s="33"/>
      <c r="F476" s="33"/>
      <c r="G476" s="33"/>
    </row>
    <row r="477" spans="1:7" x14ac:dyDescent="0.2">
      <c r="A477" s="5">
        <v>474</v>
      </c>
      <c r="B477" s="39"/>
      <c r="C477" s="31"/>
      <c r="D477" s="32"/>
      <c r="E477" s="33"/>
      <c r="F477" s="33"/>
      <c r="G477" s="33"/>
    </row>
    <row r="478" spans="1:7" x14ac:dyDescent="0.2">
      <c r="A478" s="5">
        <v>475</v>
      </c>
      <c r="B478" s="39"/>
      <c r="C478" s="31"/>
      <c r="D478" s="32"/>
      <c r="E478" s="33"/>
      <c r="F478" s="33"/>
      <c r="G478" s="33"/>
    </row>
    <row r="479" spans="1:7" x14ac:dyDescent="0.2">
      <c r="A479" s="5">
        <v>476</v>
      </c>
      <c r="B479" s="39"/>
      <c r="C479" s="31"/>
      <c r="D479" s="32"/>
      <c r="E479" s="33"/>
      <c r="F479" s="33"/>
      <c r="G479" s="33"/>
    </row>
    <row r="480" spans="1:7" x14ac:dyDescent="0.2">
      <c r="A480" s="5">
        <v>477</v>
      </c>
      <c r="B480" s="39"/>
      <c r="C480" s="31"/>
      <c r="D480" s="32"/>
      <c r="E480" s="33"/>
      <c r="F480" s="33"/>
      <c r="G480" s="33"/>
    </row>
    <row r="481" spans="1:7" x14ac:dyDescent="0.2">
      <c r="A481" s="5">
        <v>478</v>
      </c>
      <c r="B481" s="39"/>
      <c r="C481" s="31"/>
      <c r="D481" s="32"/>
      <c r="E481" s="33"/>
      <c r="F481" s="33"/>
      <c r="G481" s="33"/>
    </row>
    <row r="482" spans="1:7" x14ac:dyDescent="0.2">
      <c r="A482" s="5">
        <v>479</v>
      </c>
      <c r="B482" s="39"/>
      <c r="C482" s="31"/>
      <c r="D482" s="32"/>
      <c r="E482" s="33"/>
      <c r="F482" s="33"/>
      <c r="G482" s="33"/>
    </row>
    <row r="483" spans="1:7" x14ac:dyDescent="0.2">
      <c r="A483" s="5">
        <v>480</v>
      </c>
      <c r="B483" s="39"/>
      <c r="C483" s="31"/>
      <c r="D483" s="32"/>
      <c r="E483" s="33"/>
      <c r="F483" s="33"/>
      <c r="G483" s="33"/>
    </row>
    <row r="484" spans="1:7" x14ac:dyDescent="0.2">
      <c r="A484" s="5">
        <v>481</v>
      </c>
      <c r="B484" s="39"/>
      <c r="C484" s="31"/>
      <c r="D484" s="32"/>
      <c r="E484" s="33"/>
      <c r="F484" s="33"/>
      <c r="G484" s="33"/>
    </row>
    <row r="485" spans="1:7" x14ac:dyDescent="0.2">
      <c r="A485" s="5">
        <v>482</v>
      </c>
      <c r="B485" s="39"/>
      <c r="C485" s="31"/>
      <c r="D485" s="32"/>
      <c r="E485" s="33"/>
      <c r="F485" s="33"/>
      <c r="G485" s="33"/>
    </row>
    <row r="486" spans="1:7" x14ac:dyDescent="0.2">
      <c r="A486" s="5">
        <v>483</v>
      </c>
      <c r="B486" s="39"/>
      <c r="C486" s="31"/>
      <c r="D486" s="32"/>
      <c r="E486" s="33"/>
      <c r="F486" s="33"/>
      <c r="G486" s="33"/>
    </row>
    <row r="487" spans="1:7" x14ac:dyDescent="0.2">
      <c r="A487" s="5">
        <v>484</v>
      </c>
      <c r="B487" s="39"/>
      <c r="C487" s="31"/>
      <c r="D487" s="32"/>
      <c r="E487" s="33"/>
      <c r="F487" s="33"/>
      <c r="G487" s="33"/>
    </row>
    <row r="488" spans="1:7" x14ac:dyDescent="0.2">
      <c r="A488" s="5">
        <v>485</v>
      </c>
      <c r="B488" s="39"/>
      <c r="C488" s="31"/>
      <c r="D488" s="32"/>
      <c r="E488" s="33"/>
      <c r="F488" s="33"/>
      <c r="G488" s="33"/>
    </row>
    <row r="489" spans="1:7" x14ac:dyDescent="0.2">
      <c r="A489" s="5">
        <v>486</v>
      </c>
      <c r="B489" s="39"/>
      <c r="C489" s="31"/>
      <c r="D489" s="32"/>
      <c r="E489" s="33"/>
      <c r="F489" s="33"/>
      <c r="G489" s="33"/>
    </row>
    <row r="490" spans="1:7" x14ac:dyDescent="0.2">
      <c r="A490" s="5">
        <v>487</v>
      </c>
      <c r="B490" s="39"/>
      <c r="C490" s="31"/>
      <c r="D490" s="32"/>
      <c r="E490" s="33"/>
      <c r="F490" s="33"/>
      <c r="G490" s="33"/>
    </row>
    <row r="491" spans="1:7" x14ac:dyDescent="0.2">
      <c r="A491" s="5">
        <v>488</v>
      </c>
      <c r="B491" s="39"/>
      <c r="C491" s="31"/>
      <c r="D491" s="32"/>
      <c r="E491" s="33"/>
      <c r="F491" s="33"/>
      <c r="G491" s="33"/>
    </row>
    <row r="492" spans="1:7" x14ac:dyDescent="0.2">
      <c r="A492" s="5">
        <v>489</v>
      </c>
      <c r="B492" s="39"/>
      <c r="C492" s="31"/>
      <c r="D492" s="32"/>
      <c r="E492" s="33"/>
      <c r="F492" s="33"/>
      <c r="G492" s="33"/>
    </row>
    <row r="493" spans="1:7" x14ac:dyDescent="0.2">
      <c r="A493" s="5">
        <v>490</v>
      </c>
      <c r="B493" s="39"/>
      <c r="C493" s="31"/>
      <c r="D493" s="32"/>
      <c r="E493" s="33"/>
      <c r="F493" s="33"/>
      <c r="G493" s="33"/>
    </row>
    <row r="494" spans="1:7" x14ac:dyDescent="0.2">
      <c r="A494" s="5">
        <v>491</v>
      </c>
      <c r="B494" s="39"/>
      <c r="C494" s="31"/>
      <c r="D494" s="32"/>
      <c r="E494" s="33"/>
      <c r="F494" s="33"/>
      <c r="G494" s="33"/>
    </row>
    <row r="495" spans="1:7" x14ac:dyDescent="0.2">
      <c r="A495" s="5">
        <v>492</v>
      </c>
      <c r="B495" s="39"/>
      <c r="C495" s="31"/>
      <c r="D495" s="32"/>
      <c r="E495" s="33"/>
      <c r="F495" s="33"/>
      <c r="G495" s="33"/>
    </row>
    <row r="496" spans="1:7" x14ac:dyDescent="0.2">
      <c r="A496" s="5">
        <v>493</v>
      </c>
      <c r="B496" s="39"/>
      <c r="C496" s="31"/>
      <c r="D496" s="32"/>
      <c r="E496" s="33"/>
      <c r="F496" s="33"/>
      <c r="G496" s="33"/>
    </row>
    <row r="497" spans="1:7" x14ac:dyDescent="0.2">
      <c r="A497" s="5">
        <v>494</v>
      </c>
      <c r="B497" s="39"/>
      <c r="C497" s="31"/>
      <c r="D497" s="32"/>
      <c r="E497" s="33"/>
      <c r="F497" s="33"/>
      <c r="G497" s="33"/>
    </row>
    <row r="498" spans="1:7" x14ac:dyDescent="0.2">
      <c r="A498" s="5">
        <v>495</v>
      </c>
      <c r="B498" s="39"/>
      <c r="C498" s="31"/>
      <c r="D498" s="32"/>
      <c r="E498" s="33"/>
      <c r="F498" s="33"/>
      <c r="G498" s="33"/>
    </row>
    <row r="499" spans="1:7" x14ac:dyDescent="0.2">
      <c r="A499" s="5">
        <v>496</v>
      </c>
      <c r="B499" s="39"/>
      <c r="C499" s="31"/>
      <c r="D499" s="32"/>
      <c r="E499" s="33"/>
      <c r="F499" s="33"/>
      <c r="G499" s="33"/>
    </row>
    <row r="500" spans="1:7" x14ac:dyDescent="0.2">
      <c r="A500" s="5">
        <v>497</v>
      </c>
      <c r="B500" s="39"/>
      <c r="C500" s="31"/>
      <c r="D500" s="32"/>
      <c r="E500" s="33"/>
      <c r="F500" s="33"/>
      <c r="G500" s="33"/>
    </row>
    <row r="501" spans="1:7" x14ac:dyDescent="0.2">
      <c r="A501" s="5">
        <v>498</v>
      </c>
      <c r="B501" s="39"/>
      <c r="C501" s="31"/>
      <c r="D501" s="32"/>
      <c r="E501" s="33"/>
      <c r="F501" s="33"/>
      <c r="G501" s="33"/>
    </row>
    <row r="502" spans="1:7" x14ac:dyDescent="0.2">
      <c r="A502" s="5">
        <v>499</v>
      </c>
      <c r="B502" s="39"/>
      <c r="C502" s="31"/>
      <c r="D502" s="32"/>
      <c r="E502" s="33"/>
      <c r="F502" s="33"/>
      <c r="G502" s="33"/>
    </row>
    <row r="503" spans="1:7" x14ac:dyDescent="0.2">
      <c r="A503" s="5">
        <v>500</v>
      </c>
      <c r="B503" s="39"/>
      <c r="C503" s="31"/>
      <c r="D503" s="32"/>
      <c r="E503" s="33"/>
      <c r="F503" s="33"/>
      <c r="G503" s="33"/>
    </row>
  </sheetData>
  <dataConsolidate link="1"/>
  <conditionalFormatting sqref="B3:D3">
    <cfRule type="cellIs" dxfId="81" priority="3155" operator="equal">
      <formula>"on"</formula>
    </cfRule>
    <cfRule type="cellIs" dxfId="80" priority="3156" operator="equal">
      <formula>"off"</formula>
    </cfRule>
  </conditionalFormatting>
  <conditionalFormatting sqref="B9 B11 B13 B15 B17 B19 B21 B23 B25 B27 B29 B31 B33 B35 B38 B40 B42 B44 B46 B48 B50">
    <cfRule type="cellIs" dxfId="79" priority="3153" operator="equal">
      <formula>"on"</formula>
    </cfRule>
    <cfRule type="cellIs" dxfId="78" priority="3154" operator="equal">
      <formula>"off"</formula>
    </cfRule>
  </conditionalFormatting>
  <conditionalFormatting sqref="B10 B12 B4 B7 B14 B16 B18 B20 B22 B24 B26 B28 B30 B32 B34 B36:B37 B39 B41 B43 B45 B47 B49 B51:B503">
    <cfRule type="cellIs" dxfId="77" priority="3020" operator="equal">
      <formula>"on"</formula>
    </cfRule>
    <cfRule type="cellIs" dxfId="76" priority="3021" operator="equal">
      <formula>"off"</formula>
    </cfRule>
  </conditionalFormatting>
  <conditionalFormatting sqref="C4:D4 C7:D7 D5:D6 C9:D503 D8">
    <cfRule type="cellIs" dxfId="75" priority="2823" operator="equal">
      <formula>"Win"</formula>
    </cfRule>
  </conditionalFormatting>
  <conditionalFormatting sqref="A5 A7 A10 A12 A14 A16 A18 A20 A22 A24 A26 A28 A30 A32 A34 A36:A37 A39 A41 A43 A45 A47 A49 A51:A503">
    <cfRule type="cellIs" dxfId="74" priority="406" operator="equal">
      <formula>"on"</formula>
    </cfRule>
    <cfRule type="cellIs" dxfId="73" priority="407" operator="equal">
      <formula>"off"</formula>
    </cfRule>
  </conditionalFormatting>
  <conditionalFormatting sqref="C4:D4">
    <cfRule type="cellIs" dxfId="72" priority="375" operator="equal">
      <formula>FALSE</formula>
    </cfRule>
    <cfRule type="cellIs" dxfId="71" priority="376" operator="equal">
      <formula>TRUE</formula>
    </cfRule>
  </conditionalFormatting>
  <conditionalFormatting sqref="A4 A6 A8:A9 A11 A13 A15 A17 A19 A21 A23 A25 A27 A29 A31 A33 A35 A38 A40 A42 A44 A46 A48 A50">
    <cfRule type="cellIs" dxfId="70" priority="373" operator="equal">
      <formula>"on"</formula>
    </cfRule>
    <cfRule type="cellIs" dxfId="69" priority="374" operator="equal">
      <formula>"off"</formula>
    </cfRule>
  </conditionalFormatting>
  <conditionalFormatting sqref="C7:D7 D5:D6 C9:D503 D8">
    <cfRule type="cellIs" dxfId="68" priority="342" operator="equal">
      <formula>FALSE</formula>
    </cfRule>
    <cfRule type="cellIs" dxfId="67" priority="343" operator="equal">
      <formula>TRUE</formula>
    </cfRule>
  </conditionalFormatting>
  <conditionalFormatting sqref="B4 B7 B9:B503">
    <cfRule type="cellIs" dxfId="66" priority="310" operator="equal">
      <formula>"Win"</formula>
    </cfRule>
  </conditionalFormatting>
  <conditionalFormatting sqref="E4:E503">
    <cfRule type="cellIs" dxfId="65" priority="273" operator="equal">
      <formula>"Win"</formula>
    </cfRule>
  </conditionalFormatting>
  <conditionalFormatting sqref="E4">
    <cfRule type="cellIs" dxfId="64" priority="271" operator="equal">
      <formula>FALSE</formula>
    </cfRule>
    <cfRule type="cellIs" dxfId="63" priority="272" operator="equal">
      <formula>TRUE</formula>
    </cfRule>
  </conditionalFormatting>
  <conditionalFormatting sqref="E5:E503">
    <cfRule type="cellIs" dxfId="62" priority="269" operator="equal">
      <formula>FALSE</formula>
    </cfRule>
    <cfRule type="cellIs" dxfId="61" priority="270" operator="equal">
      <formula>TRUE</formula>
    </cfRule>
  </conditionalFormatting>
  <conditionalFormatting sqref="E3">
    <cfRule type="cellIs" dxfId="60" priority="62" operator="equal">
      <formula>"on"</formula>
    </cfRule>
    <cfRule type="cellIs" dxfId="59" priority="63" operator="equal">
      <formula>"off"</formula>
    </cfRule>
  </conditionalFormatting>
  <conditionalFormatting sqref="F4:F503">
    <cfRule type="cellIs" dxfId="58" priority="61" operator="equal">
      <formula>"Win"</formula>
    </cfRule>
  </conditionalFormatting>
  <conditionalFormatting sqref="F4">
    <cfRule type="cellIs" dxfId="57" priority="59" operator="equal">
      <formula>FALSE</formula>
    </cfRule>
    <cfRule type="cellIs" dxfId="56" priority="60" operator="equal">
      <formula>TRUE</formula>
    </cfRule>
  </conditionalFormatting>
  <conditionalFormatting sqref="F5:F503">
    <cfRule type="cellIs" dxfId="55" priority="57" operator="equal">
      <formula>FALSE</formula>
    </cfRule>
    <cfRule type="cellIs" dxfId="54" priority="58" operator="equal">
      <formula>TRUE</formula>
    </cfRule>
  </conditionalFormatting>
  <conditionalFormatting sqref="F3">
    <cfRule type="cellIs" dxfId="53" priority="55" operator="equal">
      <formula>"on"</formula>
    </cfRule>
    <cfRule type="cellIs" dxfId="52" priority="56" operator="equal">
      <formula>"off"</formula>
    </cfRule>
  </conditionalFormatting>
  <conditionalFormatting sqref="G4:G503">
    <cfRule type="cellIs" dxfId="51" priority="54" operator="equal">
      <formula>"Win"</formula>
    </cfRule>
  </conditionalFormatting>
  <conditionalFormatting sqref="G4">
    <cfRule type="cellIs" dxfId="50" priority="52" operator="equal">
      <formula>FALSE</formula>
    </cfRule>
    <cfRule type="cellIs" dxfId="49" priority="53" operator="equal">
      <formula>TRUE</formula>
    </cfRule>
  </conditionalFormatting>
  <conditionalFormatting sqref="G5:G503">
    <cfRule type="cellIs" dxfId="48" priority="50" operator="equal">
      <formula>FALSE</formula>
    </cfRule>
    <cfRule type="cellIs" dxfId="47" priority="51" operator="equal">
      <formula>TRUE</formula>
    </cfRule>
  </conditionalFormatting>
  <conditionalFormatting sqref="G3">
    <cfRule type="cellIs" dxfId="46" priority="48" operator="equal">
      <formula>"on"</formula>
    </cfRule>
    <cfRule type="cellIs" dxfId="45" priority="49" operator="equal">
      <formula>"off"</formula>
    </cfRule>
  </conditionalFormatting>
  <conditionalFormatting sqref="B5">
    <cfRule type="cellIs" dxfId="44" priority="46" operator="equal">
      <formula>"on"</formula>
    </cfRule>
    <cfRule type="cellIs" dxfId="43" priority="47" operator="equal">
      <formula>"off"</formula>
    </cfRule>
  </conditionalFormatting>
  <conditionalFormatting sqref="C5">
    <cfRule type="cellIs" dxfId="42" priority="45" operator="equal">
      <formula>"Win"</formula>
    </cfRule>
  </conditionalFormatting>
  <conditionalFormatting sqref="C5">
    <cfRule type="cellIs" dxfId="41" priority="43" operator="equal">
      <formula>FALSE</formula>
    </cfRule>
    <cfRule type="cellIs" dxfId="40" priority="44" operator="equal">
      <formula>TRUE</formula>
    </cfRule>
  </conditionalFormatting>
  <conditionalFormatting sqref="B5">
    <cfRule type="cellIs" dxfId="39" priority="42" operator="equal">
      <formula>"Win"</formula>
    </cfRule>
  </conditionalFormatting>
  <conditionalFormatting sqref="B6">
    <cfRule type="cellIs" dxfId="38" priority="40" operator="equal">
      <formula>"on"</formula>
    </cfRule>
    <cfRule type="cellIs" dxfId="37" priority="41" operator="equal">
      <formula>"off"</formula>
    </cfRule>
  </conditionalFormatting>
  <conditionalFormatting sqref="B6">
    <cfRule type="cellIs" dxfId="36" priority="36" operator="equal">
      <formula>"Win"</formula>
    </cfRule>
  </conditionalFormatting>
  <conditionalFormatting sqref="C6">
    <cfRule type="cellIs" dxfId="35" priority="33" operator="equal">
      <formula>"Win"</formula>
    </cfRule>
  </conditionalFormatting>
  <conditionalFormatting sqref="C6">
    <cfRule type="cellIs" dxfId="34" priority="31" operator="equal">
      <formula>FALSE</formula>
    </cfRule>
    <cfRule type="cellIs" dxfId="33" priority="32" operator="equal">
      <formula>TRUE</formula>
    </cfRule>
  </conditionalFormatting>
  <conditionalFormatting sqref="B5">
    <cfRule type="cellIs" dxfId="32" priority="29" operator="equal">
      <formula>"on"</formula>
    </cfRule>
    <cfRule type="cellIs" dxfId="31" priority="30" operator="equal">
      <formula>"off"</formula>
    </cfRule>
  </conditionalFormatting>
  <conditionalFormatting sqref="C5">
    <cfRule type="cellIs" dxfId="30" priority="28" operator="equal">
      <formula>"Win"</formula>
    </cfRule>
  </conditionalFormatting>
  <conditionalFormatting sqref="C5">
    <cfRule type="cellIs" dxfId="29" priority="26" operator="equal">
      <formula>FALSE</formula>
    </cfRule>
    <cfRule type="cellIs" dxfId="28" priority="27" operator="equal">
      <formula>TRUE</formula>
    </cfRule>
  </conditionalFormatting>
  <conditionalFormatting sqref="B5">
    <cfRule type="cellIs" dxfId="27" priority="25" operator="equal">
      <formula>"Win"</formula>
    </cfRule>
  </conditionalFormatting>
  <conditionalFormatting sqref="B6">
    <cfRule type="cellIs" dxfId="26" priority="23" operator="equal">
      <formula>"on"</formula>
    </cfRule>
    <cfRule type="cellIs" dxfId="25" priority="24" operator="equal">
      <formula>"off"</formula>
    </cfRule>
  </conditionalFormatting>
  <conditionalFormatting sqref="C6">
    <cfRule type="cellIs" dxfId="24" priority="22" operator="equal">
      <formula>"Win"</formula>
    </cfRule>
  </conditionalFormatting>
  <conditionalFormatting sqref="C6">
    <cfRule type="cellIs" dxfId="23" priority="20" operator="equal">
      <formula>FALSE</formula>
    </cfRule>
    <cfRule type="cellIs" dxfId="22" priority="21" operator="equal">
      <formula>TRUE</formula>
    </cfRule>
  </conditionalFormatting>
  <conditionalFormatting sqref="B6">
    <cfRule type="cellIs" dxfId="21" priority="19" operator="equal">
      <formula>"Win"</formula>
    </cfRule>
  </conditionalFormatting>
  <conditionalFormatting sqref="B7">
    <cfRule type="cellIs" dxfId="20" priority="17" operator="equal">
      <formula>"on"</formula>
    </cfRule>
    <cfRule type="cellIs" dxfId="19" priority="18" operator="equal">
      <formula>"off"</formula>
    </cfRule>
  </conditionalFormatting>
  <conditionalFormatting sqref="B7">
    <cfRule type="cellIs" dxfId="18" priority="16" operator="equal">
      <formula>"Win"</formula>
    </cfRule>
  </conditionalFormatting>
  <conditionalFormatting sqref="C7">
    <cfRule type="cellIs" dxfId="17" priority="15" operator="equal">
      <formula>"Win"</formula>
    </cfRule>
  </conditionalFormatting>
  <conditionalFormatting sqref="C7">
    <cfRule type="cellIs" dxfId="16" priority="13" operator="equal">
      <formula>FALSE</formula>
    </cfRule>
    <cfRule type="cellIs" dxfId="15" priority="14" operator="equal">
      <formula>TRUE</formula>
    </cfRule>
  </conditionalFormatting>
  <conditionalFormatting sqref="B8">
    <cfRule type="cellIs" dxfId="11" priority="11" operator="equal">
      <formula>"on"</formula>
    </cfRule>
    <cfRule type="cellIs" dxfId="10" priority="12" operator="equal">
      <formula>"off"</formula>
    </cfRule>
  </conditionalFormatting>
  <conditionalFormatting sqref="C8">
    <cfRule type="cellIs" dxfId="9" priority="10" operator="equal">
      <formula>"Win"</formula>
    </cfRule>
  </conditionalFormatting>
  <conditionalFormatting sqref="C8">
    <cfRule type="cellIs" dxfId="8" priority="8" operator="equal">
      <formula>FALSE</formula>
    </cfRule>
    <cfRule type="cellIs" dxfId="7" priority="9" operator="equal">
      <formula>TRUE</formula>
    </cfRule>
  </conditionalFormatting>
  <conditionalFormatting sqref="B8">
    <cfRule type="cellIs" dxfId="6" priority="7" operator="equal">
      <formula>"Win"</formula>
    </cfRule>
  </conditionalFormatting>
  <conditionalFormatting sqref="B8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B8">
    <cfRule type="cellIs" dxfId="3" priority="4" operator="equal">
      <formula>"Win"</formula>
    </cfRule>
  </conditionalFormatting>
  <conditionalFormatting sqref="C8">
    <cfRule type="cellIs" dxfId="2" priority="3" operator="equal">
      <formula>"Win"</formula>
    </cfRule>
  </conditionalFormatting>
  <conditionalFormatting sqref="C8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xReSend">
              <controlPr defaultSize="0" autoFill="0" autoLine="0" autoPict="0">
                <anchor>
                  <from>
                    <xdr:col>3</xdr:col>
                    <xdr:colOff>1219200</xdr:colOff>
                    <xdr:row>1</xdr:row>
                    <xdr:rowOff>171450</xdr:rowOff>
                  </from>
                  <to>
                    <xdr:col>3</xdr:col>
                    <xdr:colOff>2533650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xSleepWindow">
              <controlPr defaultSize="0" autoFill="0" autoLine="0" autoPict="0">
                <anchor>
                  <from>
                    <xdr:col>4</xdr:col>
                    <xdr:colOff>428625</xdr:colOff>
                    <xdr:row>1</xdr:row>
                    <xdr:rowOff>142875</xdr:rowOff>
                  </from>
                  <to>
                    <xdr:col>6</xdr:col>
                    <xdr:colOff>95250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BBA03-C3BA-42A4-8DAB-4AB6D4039A62}">
  <sheetPr codeName="wsZaloExcel1">
    <tabColor rgb="FF00B0F0"/>
  </sheetPr>
  <dimension ref="A1:H309"/>
  <sheetViews>
    <sheetView zoomScaleNormal="100" workbookViewId="0">
      <selection activeCell="E16" sqref="E16"/>
    </sheetView>
  </sheetViews>
  <sheetFormatPr defaultColWidth="9.140625" defaultRowHeight="14.25" x14ac:dyDescent="0.2"/>
  <cols>
    <col min="1" max="1" width="12.7109375" style="7" customWidth="1"/>
    <col min="2" max="2" width="16.7109375" style="7" customWidth="1"/>
    <col min="3" max="3" width="18.28515625" style="7" customWidth="1"/>
    <col min="4" max="4" width="10.42578125" style="7" customWidth="1"/>
    <col min="5" max="5" width="16.7109375" style="7" customWidth="1"/>
    <col min="6" max="6" width="16" style="7" customWidth="1"/>
    <col min="7" max="7" width="15.140625" style="7" customWidth="1"/>
    <col min="8" max="8" width="5.5703125" style="7" customWidth="1"/>
    <col min="9" max="16384" width="9.140625" style="2"/>
  </cols>
  <sheetData>
    <row r="1" spans="1:8" ht="22.5" customHeight="1" x14ac:dyDescent="0.2">
      <c r="A1" s="6"/>
      <c r="B1" s="1" t="s">
        <v>0</v>
      </c>
      <c r="C1" s="1" t="s">
        <v>0</v>
      </c>
      <c r="D1" s="1" t="s">
        <v>0</v>
      </c>
      <c r="E1" s="6"/>
      <c r="F1" s="6"/>
      <c r="G1" s="6"/>
      <c r="H1" s="6"/>
    </row>
    <row r="2" spans="1:8" ht="36.75" customHeight="1" x14ac:dyDescent="0.2">
      <c r="A2" s="6"/>
      <c r="B2" s="1"/>
      <c r="C2" s="1"/>
      <c r="D2" s="1"/>
      <c r="E2" s="6"/>
      <c r="F2" s="6"/>
      <c r="G2" s="6"/>
      <c r="H2" s="6"/>
    </row>
    <row r="3" spans="1:8" ht="22.5" customHeight="1" x14ac:dyDescent="0.2">
      <c r="A3" s="2"/>
      <c r="B3" s="2"/>
      <c r="C3" s="2"/>
      <c r="D3" s="2"/>
      <c r="E3" s="2"/>
      <c r="F3" s="2"/>
      <c r="G3" s="2"/>
      <c r="H3" s="2"/>
    </row>
    <row r="4" spans="1:8" ht="18.75" customHeight="1" x14ac:dyDescent="0.2">
      <c r="A4" s="2"/>
      <c r="B4" s="2"/>
      <c r="C4" s="2"/>
      <c r="D4" s="2"/>
      <c r="E4" s="2"/>
      <c r="F4" s="2"/>
      <c r="G4" s="2"/>
      <c r="H4" s="2"/>
    </row>
    <row r="5" spans="1:8" ht="18.75" customHeight="1" x14ac:dyDescent="0.2">
      <c r="A5" s="2"/>
      <c r="B5" s="2"/>
      <c r="C5" s="2"/>
      <c r="D5" s="2"/>
      <c r="E5" s="2"/>
      <c r="F5" s="2"/>
      <c r="G5" s="2"/>
      <c r="H5" s="2"/>
    </row>
    <row r="6" spans="1:8" ht="18.75" customHeight="1" x14ac:dyDescent="0.2">
      <c r="A6" s="2"/>
      <c r="B6" s="2"/>
      <c r="C6" s="2"/>
      <c r="D6" s="2"/>
      <c r="E6" s="2"/>
      <c r="F6" s="2"/>
      <c r="G6" s="2"/>
      <c r="H6" s="2"/>
    </row>
    <row r="7" spans="1:8" ht="18.75" customHeight="1" x14ac:dyDescent="0.2">
      <c r="A7" s="2"/>
      <c r="B7" s="2"/>
      <c r="C7" s="2"/>
      <c r="D7" s="2"/>
      <c r="E7" s="2"/>
      <c r="F7" s="2"/>
      <c r="G7" s="2"/>
      <c r="H7" s="2"/>
    </row>
    <row r="8" spans="1:8" ht="21.75" customHeight="1" x14ac:dyDescent="0.2">
      <c r="A8" s="2"/>
      <c r="B8" s="2"/>
      <c r="C8" s="2"/>
      <c r="D8" s="2"/>
      <c r="E8" s="2"/>
      <c r="F8" s="2"/>
      <c r="G8" s="2"/>
      <c r="H8" s="2"/>
    </row>
    <row r="9" spans="1:8" ht="21.75" customHeight="1" x14ac:dyDescent="0.2">
      <c r="A9" s="2"/>
      <c r="B9" s="2"/>
      <c r="C9" s="2"/>
      <c r="D9" s="2"/>
      <c r="E9" s="2"/>
      <c r="F9" s="2"/>
      <c r="G9" s="2"/>
      <c r="H9" s="2"/>
    </row>
    <row r="10" spans="1:8" ht="18.75" customHeight="1" x14ac:dyDescent="0.2">
      <c r="A10" s="2"/>
      <c r="B10" s="2"/>
      <c r="C10" s="2"/>
      <c r="D10" s="2"/>
      <c r="E10" s="2"/>
      <c r="F10" s="2"/>
      <c r="G10" s="2"/>
      <c r="H10" s="2"/>
    </row>
    <row r="11" spans="1:8" ht="18.75" customHeight="1" x14ac:dyDescent="0.2">
      <c r="A11" s="2"/>
      <c r="B11" s="2"/>
      <c r="C11" s="2"/>
      <c r="D11" s="2"/>
      <c r="E11" s="2"/>
      <c r="F11" s="2"/>
      <c r="G11" s="2"/>
      <c r="H11" s="2"/>
    </row>
    <row r="12" spans="1:8" ht="18.75" customHeight="1" x14ac:dyDescent="0.2">
      <c r="A12" s="2"/>
      <c r="B12" s="2"/>
      <c r="C12" s="2"/>
      <c r="D12" s="2"/>
      <c r="E12" s="2"/>
      <c r="F12" s="2"/>
      <c r="G12" s="2"/>
      <c r="H12" s="2"/>
    </row>
    <row r="13" spans="1:8" ht="18.75" customHeight="1" x14ac:dyDescent="0.2">
      <c r="A13" s="2"/>
      <c r="B13" s="2"/>
      <c r="C13" s="2"/>
      <c r="D13" s="2"/>
      <c r="E13" s="2"/>
      <c r="F13" s="2"/>
      <c r="G13" s="2"/>
      <c r="H13" s="2"/>
    </row>
    <row r="14" spans="1:8" ht="18.75" customHeight="1" x14ac:dyDescent="0.2">
      <c r="A14" s="2"/>
      <c r="B14" s="2"/>
      <c r="C14" s="2"/>
      <c r="D14" s="2"/>
      <c r="E14" s="2"/>
      <c r="F14" s="2"/>
      <c r="G14" s="2"/>
      <c r="H14" s="2"/>
    </row>
    <row r="15" spans="1:8" ht="18.75" customHeight="1" x14ac:dyDescent="0.2">
      <c r="A15" s="2"/>
      <c r="B15" s="2"/>
      <c r="C15" s="2"/>
      <c r="D15" s="2"/>
      <c r="E15" s="2"/>
      <c r="F15" s="2"/>
      <c r="G15" s="2"/>
      <c r="H15" s="2"/>
    </row>
    <row r="16" spans="1:8" ht="18.75" customHeight="1" x14ac:dyDescent="0.2">
      <c r="A16" s="2"/>
      <c r="B16" s="2"/>
      <c r="C16" s="2"/>
      <c r="D16" s="2"/>
      <c r="E16" s="2"/>
      <c r="F16" s="2"/>
      <c r="G16" s="2"/>
      <c r="H16" s="2"/>
    </row>
    <row r="17" spans="1:8" ht="18.75" customHeight="1" x14ac:dyDescent="0.2">
      <c r="A17" s="2"/>
      <c r="B17" s="2"/>
      <c r="C17" s="2"/>
      <c r="D17" s="2"/>
      <c r="E17" s="2"/>
      <c r="F17" s="2"/>
      <c r="G17" s="2"/>
      <c r="H17" s="2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1CE24-E9E0-4056-9F01-199F95111D5D}">
  <sheetPr codeName="Sheet1"/>
  <dimension ref="P3:X20"/>
  <sheetViews>
    <sheetView topLeftCell="B1" zoomScale="79" zoomScaleNormal="79" workbookViewId="0">
      <selection activeCell="H7" sqref="H7"/>
    </sheetView>
  </sheetViews>
  <sheetFormatPr defaultColWidth="10.42578125" defaultRowHeight="14.25" x14ac:dyDescent="0.2"/>
  <cols>
    <col min="1" max="14" width="10.42578125" style="13"/>
    <col min="15" max="15" width="0.42578125" style="13" customWidth="1"/>
    <col min="16" max="16" width="17.5703125" style="13" customWidth="1"/>
    <col min="17" max="16384" width="10.42578125" style="13"/>
  </cols>
  <sheetData>
    <row r="3" spans="16:24" ht="23.25" x14ac:dyDescent="0.35">
      <c r="P3" s="12" t="str">
        <f>UPPER(INDEX(Data!C1:N1,1,Processing!$K$1))</f>
        <v>JANUARY</v>
      </c>
    </row>
    <row r="6" spans="16:24" ht="23.25" x14ac:dyDescent="0.35">
      <c r="P6" s="14" t="str">
        <f>Processing!L3</f>
        <v>GROUPS</v>
      </c>
    </row>
    <row r="8" spans="16:24" ht="23.25" x14ac:dyDescent="0.35">
      <c r="P8" s="15" t="s">
        <v>12</v>
      </c>
    </row>
    <row r="9" spans="16:24" x14ac:dyDescent="0.2">
      <c r="P9" s="16"/>
    </row>
    <row r="10" spans="16:24" ht="23.25" x14ac:dyDescent="0.35">
      <c r="P10" s="15" t="s">
        <v>13</v>
      </c>
    </row>
    <row r="11" spans="16:24" x14ac:dyDescent="0.2">
      <c r="P11" s="16"/>
    </row>
    <row r="12" spans="16:24" ht="23.25" x14ac:dyDescent="0.35">
      <c r="P12" s="15" t="s">
        <v>14</v>
      </c>
    </row>
    <row r="15" spans="16:24" ht="14.25" customHeight="1" x14ac:dyDescent="0.2">
      <c r="U15" s="26"/>
      <c r="V15" s="26"/>
      <c r="W15" s="26"/>
      <c r="X15" s="26"/>
    </row>
    <row r="16" spans="16:24" ht="14.25" customHeight="1" x14ac:dyDescent="0.25">
      <c r="P16" s="25"/>
      <c r="Q16" s="25"/>
      <c r="R16" s="25"/>
      <c r="S16" s="25"/>
      <c r="T16" s="25"/>
      <c r="U16" s="25"/>
      <c r="V16" s="25"/>
      <c r="W16" s="25"/>
      <c r="X16" s="25"/>
    </row>
    <row r="17" spans="16:24" ht="14.25" customHeight="1" x14ac:dyDescent="0.25">
      <c r="P17" s="25"/>
      <c r="Q17" s="25"/>
      <c r="R17" s="25"/>
      <c r="S17" s="25"/>
      <c r="T17" s="25"/>
      <c r="U17" s="25"/>
      <c r="V17" s="25"/>
      <c r="W17" s="25"/>
      <c r="X17" s="25"/>
    </row>
    <row r="18" spans="16:24" ht="18" customHeight="1" x14ac:dyDescent="0.25">
      <c r="U18" s="25"/>
      <c r="V18" s="25"/>
      <c r="W18" s="25"/>
      <c r="X18" s="25"/>
    </row>
    <row r="19" spans="16:24" ht="14.25" customHeight="1" x14ac:dyDescent="0.25">
      <c r="P19" s="25"/>
      <c r="Q19" s="25"/>
      <c r="R19" s="25"/>
      <c r="S19" s="25"/>
      <c r="T19" s="25"/>
      <c r="U19" s="25"/>
      <c r="V19" s="25"/>
      <c r="W19" s="25"/>
      <c r="X19" s="25"/>
    </row>
    <row r="20" spans="16:24" ht="14.25" customHeight="1" x14ac:dyDescent="0.25">
      <c r="P20" s="25"/>
      <c r="Q20" s="25"/>
      <c r="R20" s="25"/>
      <c r="S20" s="25"/>
      <c r="T20" s="25"/>
      <c r="U20" s="25"/>
      <c r="V20" s="25"/>
      <c r="W20" s="25"/>
      <c r="X20" s="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>
                <anchor moveWithCells="1" sizeWithCells="1">
                  <from>
                    <xdr:col>16</xdr:col>
                    <xdr:colOff>95250</xdr:colOff>
                    <xdr:row>1</xdr:row>
                    <xdr:rowOff>171450</xdr:rowOff>
                  </from>
                  <to>
                    <xdr:col>16</xdr:col>
                    <xdr:colOff>485775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15</xdr:col>
                    <xdr:colOff>104775</xdr:colOff>
                    <xdr:row>7</xdr:row>
                    <xdr:rowOff>19050</xdr:rowOff>
                  </from>
                  <to>
                    <xdr:col>16</xdr:col>
                    <xdr:colOff>47625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heck Box 3">
              <controlPr defaultSize="0" autoFill="0" autoLine="0" autoPict="0">
                <anchor moveWithCells="1">
                  <from>
                    <xdr:col>15</xdr:col>
                    <xdr:colOff>104775</xdr:colOff>
                    <xdr:row>9</xdr:row>
                    <xdr:rowOff>19050</xdr:rowOff>
                  </from>
                  <to>
                    <xdr:col>16</xdr:col>
                    <xdr:colOff>47625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heck Box 4">
              <controlPr defaultSize="0" autoFill="0" autoLine="0" autoPict="0">
                <anchor moveWithCells="1">
                  <from>
                    <xdr:col>15</xdr:col>
                    <xdr:colOff>104775</xdr:colOff>
                    <xdr:row>11</xdr:row>
                    <xdr:rowOff>19050</xdr:rowOff>
                  </from>
                  <to>
                    <xdr:col>16</xdr:col>
                    <xdr:colOff>47625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BF952357-BF5C-42F7-9E5E-DE0499AF8ADE}">
            <xm:f>Processing!$K$4</xm:f>
            <x14:dxf>
              <font>
                <color rgb="FF00FF00"/>
              </font>
            </x14:dxf>
          </x14:cfRule>
          <xm:sqref>P8</xm:sqref>
        </x14:conditionalFormatting>
        <x14:conditionalFormatting xmlns:xm="http://schemas.microsoft.com/office/excel/2006/main">
          <x14:cfRule type="expression" priority="2" id="{B6B2C42E-45D2-410E-9144-622F1C29A868}">
            <xm:f>Processing!$K$5</xm:f>
            <x14:dxf>
              <font>
                <color rgb="FF00FF00"/>
              </font>
            </x14:dxf>
          </x14:cfRule>
          <xm:sqref>P10</xm:sqref>
        </x14:conditionalFormatting>
        <x14:conditionalFormatting xmlns:xm="http://schemas.microsoft.com/office/excel/2006/main">
          <x14:cfRule type="expression" priority="1" id="{3FEACE2A-7CAA-4DC1-9725-5602B0200F06}">
            <xm:f>Processing!$K$6</xm:f>
            <x14:dxf>
              <font>
                <color rgb="FF00FF00"/>
              </font>
            </x14:dxf>
          </x14:cfRule>
          <xm:sqref>P12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AD82-E6D4-4954-AEB1-6AEEDE098534}">
  <sheetPr codeName="Sheet2"/>
  <dimension ref="A1:N21"/>
  <sheetViews>
    <sheetView workbookViewId="0">
      <selection activeCell="M20" sqref="M20"/>
    </sheetView>
  </sheetViews>
  <sheetFormatPr defaultRowHeight="14.25" x14ac:dyDescent="0.2"/>
  <cols>
    <col min="1" max="2" width="6.7109375" style="19" customWidth="1"/>
    <col min="3" max="9" width="9.140625" style="19"/>
    <col min="10" max="10" width="8.140625" style="19" customWidth="1"/>
    <col min="11" max="16384" width="9.140625" style="19"/>
  </cols>
  <sheetData>
    <row r="1" spans="1:14" ht="15" thickTop="1" x14ac:dyDescent="0.2">
      <c r="A1" s="27">
        <v>1</v>
      </c>
      <c r="B1" s="17" t="s">
        <v>12</v>
      </c>
      <c r="C1" s="17">
        <v>0</v>
      </c>
      <c r="D1" s="17">
        <v>0</v>
      </c>
      <c r="E1" s="17">
        <v>0</v>
      </c>
      <c r="F1" s="17">
        <f>INDEX(Data!$C$2:$N$19,ROW(),Processing!$K$1)</f>
        <v>100</v>
      </c>
      <c r="G1" s="17">
        <f>F1*$K$4</f>
        <v>100</v>
      </c>
      <c r="H1" s="17">
        <v>0</v>
      </c>
      <c r="I1" s="27">
        <f>ROUND(SUM(C1:H3)/SUM($C$1:$H$18)*100,0)</f>
        <v>22</v>
      </c>
      <c r="J1" s="27" t="str">
        <f>I1&amp;"%"</f>
        <v>22%</v>
      </c>
      <c r="K1" s="18">
        <v>1</v>
      </c>
      <c r="L1" s="19" t="s">
        <v>15</v>
      </c>
      <c r="N1" s="19" t="s">
        <v>16</v>
      </c>
    </row>
    <row r="2" spans="1:14" x14ac:dyDescent="0.2">
      <c r="A2" s="28"/>
      <c r="B2" s="20" t="s">
        <v>13</v>
      </c>
      <c r="C2" s="20">
        <v>0</v>
      </c>
      <c r="D2" s="20">
        <v>0</v>
      </c>
      <c r="E2" s="20">
        <v>0</v>
      </c>
      <c r="F2" s="20">
        <f>INDEX(Data!$C$2:$N$19,ROW(),Processing!$K$1)</f>
        <v>90</v>
      </c>
      <c r="G2" s="20">
        <f>F2*$K$5</f>
        <v>90</v>
      </c>
      <c r="H2" s="20">
        <v>0</v>
      </c>
      <c r="I2" s="28"/>
      <c r="J2" s="28"/>
      <c r="N2" s="19">
        <f>I1</f>
        <v>22</v>
      </c>
    </row>
    <row r="3" spans="1:14" ht="15" thickBot="1" x14ac:dyDescent="0.25">
      <c r="A3" s="29"/>
      <c r="B3" s="21" t="s">
        <v>14</v>
      </c>
      <c r="C3" s="21">
        <v>0</v>
      </c>
      <c r="D3" s="21">
        <v>0</v>
      </c>
      <c r="E3" s="21">
        <v>0</v>
      </c>
      <c r="F3" s="21">
        <f>INDEX(Data!$C$2:$N$19,ROW(),Processing!$K$1)</f>
        <v>70</v>
      </c>
      <c r="G3" s="21">
        <f>F3*$K$6</f>
        <v>70</v>
      </c>
      <c r="H3" s="21">
        <v>0</v>
      </c>
      <c r="I3" s="29"/>
      <c r="J3" s="29"/>
      <c r="L3" s="19" t="s">
        <v>17</v>
      </c>
      <c r="N3" s="19">
        <f>I4</f>
        <v>17</v>
      </c>
    </row>
    <row r="4" spans="1:14" ht="15" thickTop="1" x14ac:dyDescent="0.2">
      <c r="A4" s="27">
        <v>2</v>
      </c>
      <c r="B4" s="17" t="s">
        <v>12</v>
      </c>
      <c r="C4" s="17">
        <v>0</v>
      </c>
      <c r="D4" s="17">
        <v>0</v>
      </c>
      <c r="E4" s="17">
        <v>0</v>
      </c>
      <c r="F4" s="17">
        <v>0</v>
      </c>
      <c r="G4" s="17">
        <f>INDEX(Data!$C$2:$N$19,ROW(),Processing!$K$1)</f>
        <v>80</v>
      </c>
      <c r="H4" s="17">
        <f>G4*$K$4</f>
        <v>80</v>
      </c>
      <c r="I4" s="27">
        <f t="shared" ref="I4" si="0">ROUND(SUM(C4:H6)/SUM($C$1:$H$18)*100,0)</f>
        <v>17</v>
      </c>
      <c r="J4" s="27" t="str">
        <f t="shared" ref="J4" si="1">I4&amp;"%"</f>
        <v>17%</v>
      </c>
      <c r="K4" s="19" t="b">
        <v>1</v>
      </c>
      <c r="L4" s="19" t="s">
        <v>12</v>
      </c>
      <c r="N4" s="19">
        <f>I7</f>
        <v>13</v>
      </c>
    </row>
    <row r="5" spans="1:14" x14ac:dyDescent="0.2">
      <c r="A5" s="28"/>
      <c r="B5" s="20" t="s">
        <v>13</v>
      </c>
      <c r="C5" s="20">
        <v>0</v>
      </c>
      <c r="D5" s="20">
        <v>0</v>
      </c>
      <c r="E5" s="20">
        <v>0</v>
      </c>
      <c r="F5" s="20">
        <v>0</v>
      </c>
      <c r="G5" s="20">
        <f>INDEX(Data!$C$2:$N$19,ROW(),Processing!$K$1)</f>
        <v>70</v>
      </c>
      <c r="H5" s="20">
        <f>G5*$K$5</f>
        <v>70</v>
      </c>
      <c r="I5" s="28"/>
      <c r="J5" s="28"/>
      <c r="K5" s="19" t="b">
        <v>1</v>
      </c>
      <c r="L5" s="19" t="s">
        <v>13</v>
      </c>
      <c r="N5" s="19">
        <f>I10</f>
        <v>18</v>
      </c>
    </row>
    <row r="6" spans="1:14" ht="15" thickBot="1" x14ac:dyDescent="0.25">
      <c r="A6" s="29"/>
      <c r="B6" s="21" t="s">
        <v>14</v>
      </c>
      <c r="C6" s="21">
        <v>0</v>
      </c>
      <c r="D6" s="21">
        <v>0</v>
      </c>
      <c r="E6" s="21">
        <v>0</v>
      </c>
      <c r="F6" s="21">
        <v>0</v>
      </c>
      <c r="G6" s="21">
        <f>INDEX(Data!$C$2:$N$19,ROW(),Processing!$K$1)</f>
        <v>50</v>
      </c>
      <c r="H6" s="21">
        <f>G6*$K$6</f>
        <v>50</v>
      </c>
      <c r="I6" s="29"/>
      <c r="J6" s="29"/>
      <c r="K6" s="19" t="b">
        <v>1</v>
      </c>
      <c r="L6" s="19" t="s">
        <v>14</v>
      </c>
      <c r="N6" s="19">
        <f>I13</f>
        <v>14</v>
      </c>
    </row>
    <row r="7" spans="1:14" ht="15" thickTop="1" x14ac:dyDescent="0.2">
      <c r="A7" s="27">
        <v>3</v>
      </c>
      <c r="B7" s="17" t="s">
        <v>12</v>
      </c>
      <c r="C7" s="17">
        <f>INDEX(Data!$C$2:$N$19,ROW(),Processing!$K$1)</f>
        <v>60</v>
      </c>
      <c r="D7" s="17">
        <v>0</v>
      </c>
      <c r="E7" s="17">
        <v>0</v>
      </c>
      <c r="F7" s="17">
        <v>0</v>
      </c>
      <c r="G7" s="17">
        <v>0</v>
      </c>
      <c r="H7" s="17">
        <f t="shared" ref="H7" si="2">C7*$K$4</f>
        <v>60</v>
      </c>
      <c r="I7" s="27">
        <f t="shared" ref="I7" si="3">ROUND(SUM(C7:H9)/SUM($C$1:$H$18)*100,0)</f>
        <v>13</v>
      </c>
      <c r="J7" s="27" t="str">
        <f t="shared" ref="J7" si="4">I7&amp;"%"</f>
        <v>13%</v>
      </c>
      <c r="N7" s="19">
        <f>I16</f>
        <v>16</v>
      </c>
    </row>
    <row r="8" spans="1:14" x14ac:dyDescent="0.2">
      <c r="A8" s="28"/>
      <c r="B8" s="20" t="s">
        <v>13</v>
      </c>
      <c r="C8" s="20">
        <f>INDEX(Data!$C$2:$N$19,ROW(),Processing!$K$1)</f>
        <v>50</v>
      </c>
      <c r="D8" s="20">
        <v>0</v>
      </c>
      <c r="E8" s="20">
        <v>0</v>
      </c>
      <c r="F8" s="20">
        <v>0</v>
      </c>
      <c r="G8" s="20">
        <v>0</v>
      </c>
      <c r="H8" s="20">
        <f>C8*$K$5</f>
        <v>50</v>
      </c>
      <c r="I8" s="28"/>
      <c r="J8" s="28"/>
    </row>
    <row r="9" spans="1:14" ht="15" thickBot="1" x14ac:dyDescent="0.25">
      <c r="A9" s="29"/>
      <c r="B9" s="21" t="s">
        <v>14</v>
      </c>
      <c r="C9" s="21">
        <f>INDEX(Data!$C$2:$N$19,ROW(),Processing!$K$1)</f>
        <v>40</v>
      </c>
      <c r="D9" s="21">
        <v>0</v>
      </c>
      <c r="E9" s="21">
        <v>0</v>
      </c>
      <c r="F9" s="21">
        <v>0</v>
      </c>
      <c r="G9" s="21">
        <v>0</v>
      </c>
      <c r="H9" s="21">
        <f>C9*$K$6</f>
        <v>40</v>
      </c>
      <c r="I9" s="29"/>
      <c r="J9" s="29"/>
    </row>
    <row r="10" spans="1:14" ht="15" thickTop="1" x14ac:dyDescent="0.2">
      <c r="A10" s="27">
        <v>4</v>
      </c>
      <c r="B10" s="17" t="s">
        <v>12</v>
      </c>
      <c r="C10" s="17">
        <f>INDEX(Data!$C$2:$N$19,ROW(),Processing!$K$1)</f>
        <v>80</v>
      </c>
      <c r="D10" s="17">
        <f>C10*$K$4</f>
        <v>80</v>
      </c>
      <c r="E10" s="17">
        <v>0</v>
      </c>
      <c r="F10" s="17">
        <v>0</v>
      </c>
      <c r="G10" s="17">
        <v>0</v>
      </c>
      <c r="H10" s="17">
        <v>0</v>
      </c>
      <c r="I10" s="27">
        <f t="shared" ref="I10" si="5">ROUND(SUM(C10:H12)/SUM($C$1:$H$18)*100,0)</f>
        <v>18</v>
      </c>
      <c r="J10" s="27" t="str">
        <f t="shared" ref="J10" si="6">I10&amp;"%"</f>
        <v>18%</v>
      </c>
    </row>
    <row r="11" spans="1:14" x14ac:dyDescent="0.2">
      <c r="A11" s="28"/>
      <c r="B11" s="20" t="s">
        <v>13</v>
      </c>
      <c r="C11" s="20">
        <f>INDEX(Data!$C$2:$N$19,ROW(),Processing!$K$1)</f>
        <v>70</v>
      </c>
      <c r="D11" s="20">
        <f>C11*$K$5</f>
        <v>70</v>
      </c>
      <c r="E11" s="20">
        <v>0</v>
      </c>
      <c r="F11" s="20">
        <v>0</v>
      </c>
      <c r="G11" s="20">
        <v>0</v>
      </c>
      <c r="H11" s="20">
        <v>0</v>
      </c>
      <c r="I11" s="28"/>
      <c r="J11" s="28"/>
    </row>
    <row r="12" spans="1:14" ht="15" thickBot="1" x14ac:dyDescent="0.25">
      <c r="A12" s="29"/>
      <c r="B12" s="21" t="s">
        <v>14</v>
      </c>
      <c r="C12" s="21">
        <f>INDEX(Data!$C$2:$N$19,ROW(),Processing!$K$1)</f>
        <v>60</v>
      </c>
      <c r="D12" s="21">
        <f>C12*$K$6</f>
        <v>60</v>
      </c>
      <c r="E12" s="21">
        <v>0</v>
      </c>
      <c r="F12" s="21">
        <v>0</v>
      </c>
      <c r="G12" s="21">
        <v>0</v>
      </c>
      <c r="H12" s="21">
        <v>0</v>
      </c>
      <c r="I12" s="29"/>
      <c r="J12" s="29"/>
    </row>
    <row r="13" spans="1:14" ht="15" thickTop="1" x14ac:dyDescent="0.2">
      <c r="A13" s="27">
        <v>5</v>
      </c>
      <c r="B13" s="17" t="s">
        <v>12</v>
      </c>
      <c r="C13" s="17">
        <v>0</v>
      </c>
      <c r="D13" s="17">
        <f>INDEX(Data!$C$2:$N$19,ROW(),Processing!$K$1)</f>
        <v>70</v>
      </c>
      <c r="E13" s="17">
        <f>D13*$K$4</f>
        <v>70</v>
      </c>
      <c r="F13" s="17">
        <v>0</v>
      </c>
      <c r="G13" s="17">
        <v>0</v>
      </c>
      <c r="H13" s="17">
        <v>0</v>
      </c>
      <c r="I13" s="27">
        <f t="shared" ref="I13" si="7">ROUND(SUM(C13:H15)/SUM($C$1:$H$18)*100,0)</f>
        <v>14</v>
      </c>
      <c r="J13" s="27" t="str">
        <f t="shared" ref="J13" si="8">I13&amp;"%"</f>
        <v>14%</v>
      </c>
    </row>
    <row r="14" spans="1:14" x14ac:dyDescent="0.2">
      <c r="A14" s="28"/>
      <c r="B14" s="20" t="s">
        <v>13</v>
      </c>
      <c r="C14" s="20">
        <v>0</v>
      </c>
      <c r="D14" s="20">
        <f>INDEX(Data!$C$2:$N$19,ROW(),Processing!$K$1)</f>
        <v>60</v>
      </c>
      <c r="E14" s="20">
        <f>D14*$K$5</f>
        <v>60</v>
      </c>
      <c r="F14" s="20">
        <v>0</v>
      </c>
      <c r="G14" s="20">
        <v>0</v>
      </c>
      <c r="H14" s="20">
        <v>0</v>
      </c>
      <c r="I14" s="28"/>
      <c r="J14" s="28"/>
    </row>
    <row r="15" spans="1:14" ht="15" thickBot="1" x14ac:dyDescent="0.25">
      <c r="A15" s="29"/>
      <c r="B15" s="21" t="s">
        <v>14</v>
      </c>
      <c r="C15" s="21">
        <v>0</v>
      </c>
      <c r="D15" s="21">
        <f>INDEX(Data!$C$2:$N$19,ROW(),Processing!$K$1)</f>
        <v>30</v>
      </c>
      <c r="E15" s="21">
        <f>D15*$K$6</f>
        <v>30</v>
      </c>
      <c r="F15" s="21">
        <v>0</v>
      </c>
      <c r="G15" s="21">
        <v>0</v>
      </c>
      <c r="H15" s="21">
        <v>0</v>
      </c>
      <c r="I15" s="29"/>
      <c r="J15" s="29"/>
    </row>
    <row r="16" spans="1:14" ht="15" thickTop="1" x14ac:dyDescent="0.2">
      <c r="A16" s="27">
        <v>6</v>
      </c>
      <c r="B16" s="17" t="s">
        <v>12</v>
      </c>
      <c r="C16" s="17">
        <v>0</v>
      </c>
      <c r="D16" s="17">
        <v>0</v>
      </c>
      <c r="E16" s="17">
        <f>INDEX(Data!$C$2:$N$19,ROW(),Processing!$K$1)</f>
        <v>80</v>
      </c>
      <c r="F16" s="17">
        <f>E16*$K$4</f>
        <v>80</v>
      </c>
      <c r="G16" s="17">
        <v>0</v>
      </c>
      <c r="H16" s="17">
        <v>0</v>
      </c>
      <c r="I16" s="27">
        <f t="shared" ref="I16" si="9">ROUND(SUM(C16:H18)/SUM($C$1:$H$18)*100,0)</f>
        <v>16</v>
      </c>
      <c r="J16" s="27" t="str">
        <f t="shared" ref="J16" si="10">I16&amp;"%"</f>
        <v>16%</v>
      </c>
    </row>
    <row r="17" spans="1:10" x14ac:dyDescent="0.2">
      <c r="A17" s="28"/>
      <c r="B17" s="20" t="s">
        <v>13</v>
      </c>
      <c r="C17" s="20">
        <v>0</v>
      </c>
      <c r="D17" s="20">
        <v>0</v>
      </c>
      <c r="E17" s="20">
        <f>INDEX(Data!$C$2:$N$19,ROW(),Processing!$K$1)</f>
        <v>70</v>
      </c>
      <c r="F17" s="20">
        <f>E17*$K$5</f>
        <v>70</v>
      </c>
      <c r="G17" s="20">
        <v>0</v>
      </c>
      <c r="H17" s="20">
        <v>0</v>
      </c>
      <c r="I17" s="28"/>
      <c r="J17" s="28"/>
    </row>
    <row r="18" spans="1:10" ht="15" thickBot="1" x14ac:dyDescent="0.25">
      <c r="A18" s="29"/>
      <c r="B18" s="21" t="s">
        <v>14</v>
      </c>
      <c r="C18" s="21">
        <v>0</v>
      </c>
      <c r="D18" s="21">
        <v>0</v>
      </c>
      <c r="E18" s="21">
        <f>INDEX(Data!$C$2:$N$19,ROW(),Processing!$K$1)</f>
        <v>40</v>
      </c>
      <c r="F18" s="21">
        <f>E18*$K$6</f>
        <v>40</v>
      </c>
      <c r="G18" s="21">
        <v>0</v>
      </c>
      <c r="H18" s="21">
        <v>0</v>
      </c>
      <c r="I18" s="29"/>
      <c r="J18" s="29"/>
    </row>
    <row r="19" spans="1:10" ht="15" customHeight="1" thickTop="1" x14ac:dyDescent="0.2"/>
    <row r="20" spans="1:10" ht="18" customHeight="1" x14ac:dyDescent="0.2"/>
    <row r="21" spans="1:10" ht="14.25" customHeight="1" x14ac:dyDescent="0.2"/>
  </sheetData>
  <mergeCells count="18">
    <mergeCell ref="A1:A3"/>
    <mergeCell ref="I1:I3"/>
    <mergeCell ref="J1:J3"/>
    <mergeCell ref="A4:A6"/>
    <mergeCell ref="I4:I6"/>
    <mergeCell ref="J4:J6"/>
    <mergeCell ref="A7:A9"/>
    <mergeCell ref="I7:I9"/>
    <mergeCell ref="J7:J9"/>
    <mergeCell ref="A10:A12"/>
    <mergeCell ref="I10:I12"/>
    <mergeCell ref="J10:J12"/>
    <mergeCell ref="A13:A15"/>
    <mergeCell ref="I13:I15"/>
    <mergeCell ref="J13:J15"/>
    <mergeCell ref="A16:A18"/>
    <mergeCell ref="I16:I18"/>
    <mergeCell ref="J16:J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52379-1E68-4CEC-B88C-C44B9F05FB1E}">
  <sheetPr codeName="Sheet3"/>
  <dimension ref="A1:N22"/>
  <sheetViews>
    <sheetView zoomScale="80" zoomScaleNormal="80" workbookViewId="0">
      <selection activeCell="I27" sqref="I27"/>
    </sheetView>
  </sheetViews>
  <sheetFormatPr defaultRowHeight="14.25" x14ac:dyDescent="0.2"/>
  <cols>
    <col min="1" max="1" width="8.28515625" style="18" bestFit="1" customWidth="1"/>
    <col min="2" max="2" width="7.5703125" style="19" bestFit="1" customWidth="1"/>
    <col min="3" max="10" width="10.5703125" style="19" customWidth="1"/>
    <col min="11" max="14" width="11.42578125" style="19" customWidth="1"/>
    <col min="15" max="16384" width="9.140625" style="19"/>
  </cols>
  <sheetData>
    <row r="1" spans="1:14" ht="15" x14ac:dyDescent="0.25">
      <c r="A1" s="22" t="s">
        <v>18</v>
      </c>
      <c r="B1" s="22" t="s">
        <v>19</v>
      </c>
      <c r="C1" s="22" t="s">
        <v>20</v>
      </c>
      <c r="D1" s="23" t="s">
        <v>21</v>
      </c>
      <c r="E1" s="23" t="s">
        <v>22</v>
      </c>
      <c r="F1" s="23" t="s">
        <v>23</v>
      </c>
      <c r="G1" s="23" t="s">
        <v>24</v>
      </c>
      <c r="H1" s="23" t="s">
        <v>25</v>
      </c>
      <c r="I1" s="23" t="s">
        <v>26</v>
      </c>
      <c r="J1" s="23" t="s">
        <v>27</v>
      </c>
      <c r="K1" s="23" t="s">
        <v>28</v>
      </c>
      <c r="L1" s="23" t="s">
        <v>29</v>
      </c>
      <c r="M1" s="23" t="s">
        <v>30</v>
      </c>
      <c r="N1" s="23" t="s">
        <v>31</v>
      </c>
    </row>
    <row r="2" spans="1:14" x14ac:dyDescent="0.2">
      <c r="A2" s="18">
        <v>1</v>
      </c>
      <c r="B2" s="24" t="s">
        <v>12</v>
      </c>
      <c r="C2" s="18">
        <v>100</v>
      </c>
      <c r="D2" s="19">
        <v>90</v>
      </c>
      <c r="E2" s="19">
        <v>113</v>
      </c>
      <c r="F2" s="19">
        <v>156</v>
      </c>
      <c r="G2" s="19">
        <v>191</v>
      </c>
      <c r="H2" s="19">
        <v>195</v>
      </c>
      <c r="I2" s="19">
        <v>75</v>
      </c>
      <c r="J2" s="19">
        <v>181</v>
      </c>
      <c r="K2" s="19">
        <v>115</v>
      </c>
      <c r="L2" s="19">
        <v>182</v>
      </c>
      <c r="M2" s="19">
        <v>72</v>
      </c>
      <c r="N2" s="19">
        <v>199</v>
      </c>
    </row>
    <row r="3" spans="1:14" x14ac:dyDescent="0.2">
      <c r="A3" s="18">
        <v>1</v>
      </c>
      <c r="B3" s="24" t="s">
        <v>13</v>
      </c>
      <c r="C3" s="18">
        <v>90</v>
      </c>
      <c r="D3" s="19">
        <v>63</v>
      </c>
      <c r="E3" s="19">
        <v>90</v>
      </c>
      <c r="F3" s="19">
        <v>140</v>
      </c>
      <c r="G3" s="19">
        <v>133</v>
      </c>
      <c r="H3" s="19">
        <v>136</v>
      </c>
      <c r="I3" s="19">
        <v>60</v>
      </c>
      <c r="J3" s="19">
        <v>162</v>
      </c>
      <c r="K3" s="19">
        <v>92</v>
      </c>
      <c r="L3" s="19">
        <v>127</v>
      </c>
      <c r="M3" s="19">
        <v>50</v>
      </c>
      <c r="N3" s="19">
        <v>139</v>
      </c>
    </row>
    <row r="4" spans="1:14" x14ac:dyDescent="0.2">
      <c r="A4" s="18">
        <v>1</v>
      </c>
      <c r="B4" s="24" t="s">
        <v>14</v>
      </c>
      <c r="C4" s="18">
        <v>70</v>
      </c>
      <c r="D4" s="19">
        <v>44</v>
      </c>
      <c r="E4" s="19">
        <v>81</v>
      </c>
      <c r="F4" s="19">
        <v>126</v>
      </c>
      <c r="G4" s="19">
        <v>93</v>
      </c>
      <c r="H4" s="19">
        <v>122</v>
      </c>
      <c r="I4" s="19">
        <v>48</v>
      </c>
      <c r="J4" s="19">
        <v>129</v>
      </c>
      <c r="K4" s="19">
        <v>64</v>
      </c>
      <c r="L4" s="19">
        <v>88</v>
      </c>
      <c r="M4" s="19">
        <v>35</v>
      </c>
      <c r="N4" s="19">
        <v>97</v>
      </c>
    </row>
    <row r="5" spans="1:14" x14ac:dyDescent="0.2">
      <c r="A5" s="18">
        <v>2</v>
      </c>
      <c r="B5" s="24" t="s">
        <v>12</v>
      </c>
      <c r="C5" s="18">
        <v>80</v>
      </c>
      <c r="D5" s="19">
        <v>92</v>
      </c>
      <c r="E5" s="19">
        <v>128</v>
      </c>
      <c r="F5" s="19">
        <v>188</v>
      </c>
      <c r="G5" s="19">
        <v>146</v>
      </c>
      <c r="H5" s="19">
        <v>138</v>
      </c>
      <c r="I5" s="19">
        <v>131</v>
      </c>
      <c r="J5" s="19">
        <v>132</v>
      </c>
      <c r="K5" s="19">
        <v>83</v>
      </c>
      <c r="L5" s="19">
        <v>109</v>
      </c>
      <c r="M5" s="19">
        <v>165</v>
      </c>
      <c r="N5" s="19">
        <v>104</v>
      </c>
    </row>
    <row r="6" spans="1:14" x14ac:dyDescent="0.2">
      <c r="A6" s="18">
        <v>2</v>
      </c>
      <c r="B6" s="24" t="s">
        <v>13</v>
      </c>
      <c r="C6" s="18">
        <v>70</v>
      </c>
      <c r="D6" s="19">
        <v>64</v>
      </c>
      <c r="E6" s="19">
        <v>102</v>
      </c>
      <c r="F6" s="19">
        <v>131</v>
      </c>
      <c r="G6" s="19">
        <v>102</v>
      </c>
      <c r="H6" s="19">
        <v>124</v>
      </c>
      <c r="I6" s="19">
        <v>117</v>
      </c>
      <c r="J6" s="19">
        <v>92</v>
      </c>
      <c r="K6" s="19">
        <v>66</v>
      </c>
      <c r="L6" s="19">
        <v>87</v>
      </c>
      <c r="M6" s="19">
        <v>148</v>
      </c>
      <c r="N6" s="19">
        <v>83</v>
      </c>
    </row>
    <row r="7" spans="1:14" x14ac:dyDescent="0.2">
      <c r="A7" s="18">
        <v>2</v>
      </c>
      <c r="B7" s="24" t="s">
        <v>14</v>
      </c>
      <c r="C7" s="18">
        <v>50</v>
      </c>
      <c r="D7" s="19">
        <v>51</v>
      </c>
      <c r="E7" s="19">
        <v>71</v>
      </c>
      <c r="F7" s="19">
        <v>91</v>
      </c>
      <c r="G7" s="19">
        <v>81</v>
      </c>
      <c r="H7" s="19">
        <v>86</v>
      </c>
      <c r="I7" s="19">
        <v>93</v>
      </c>
      <c r="J7" s="19">
        <v>64</v>
      </c>
      <c r="K7" s="19">
        <v>52</v>
      </c>
      <c r="L7" s="19">
        <v>69</v>
      </c>
      <c r="M7" s="19">
        <v>103</v>
      </c>
      <c r="N7" s="19">
        <v>66</v>
      </c>
    </row>
    <row r="8" spans="1:14" x14ac:dyDescent="0.2">
      <c r="A8" s="18">
        <v>3</v>
      </c>
      <c r="B8" s="24" t="s">
        <v>12</v>
      </c>
      <c r="C8" s="18">
        <v>60</v>
      </c>
      <c r="D8" s="19">
        <v>102</v>
      </c>
      <c r="E8" s="19">
        <v>173</v>
      </c>
      <c r="F8" s="19">
        <v>138</v>
      </c>
      <c r="G8" s="19">
        <v>111</v>
      </c>
      <c r="H8" s="19">
        <v>158</v>
      </c>
      <c r="I8" s="19">
        <v>106</v>
      </c>
      <c r="J8" s="19">
        <v>143</v>
      </c>
      <c r="K8" s="19">
        <v>179</v>
      </c>
      <c r="L8" s="19">
        <v>91</v>
      </c>
      <c r="M8" s="19">
        <v>200</v>
      </c>
      <c r="N8" s="19">
        <v>183</v>
      </c>
    </row>
    <row r="9" spans="1:14" x14ac:dyDescent="0.2">
      <c r="A9" s="18">
        <v>3</v>
      </c>
      <c r="B9" s="24" t="s">
        <v>13</v>
      </c>
      <c r="C9" s="18">
        <v>50</v>
      </c>
      <c r="D9" s="19">
        <v>81</v>
      </c>
      <c r="E9" s="19">
        <v>155</v>
      </c>
      <c r="F9" s="19">
        <v>110</v>
      </c>
      <c r="G9" s="19">
        <v>88</v>
      </c>
      <c r="H9" s="19">
        <v>142</v>
      </c>
      <c r="I9" s="19">
        <v>95</v>
      </c>
      <c r="J9" s="19">
        <v>128</v>
      </c>
      <c r="K9" s="19">
        <v>125</v>
      </c>
      <c r="L9" s="19">
        <v>63</v>
      </c>
      <c r="M9" s="19">
        <v>180</v>
      </c>
      <c r="N9" s="19">
        <v>164</v>
      </c>
    </row>
    <row r="10" spans="1:14" x14ac:dyDescent="0.2">
      <c r="A10" s="18">
        <v>3</v>
      </c>
      <c r="B10" s="24" t="s">
        <v>14</v>
      </c>
      <c r="C10" s="18">
        <v>40</v>
      </c>
      <c r="D10" s="19">
        <v>64</v>
      </c>
      <c r="E10" s="19">
        <v>124</v>
      </c>
      <c r="F10" s="19">
        <v>99</v>
      </c>
      <c r="G10" s="19">
        <v>61</v>
      </c>
      <c r="H10" s="19">
        <v>113</v>
      </c>
      <c r="I10" s="19">
        <v>85</v>
      </c>
      <c r="J10" s="19">
        <v>89</v>
      </c>
      <c r="K10" s="19">
        <v>100</v>
      </c>
      <c r="L10" s="19">
        <v>56</v>
      </c>
      <c r="M10" s="19">
        <v>144</v>
      </c>
      <c r="N10" s="19">
        <v>131</v>
      </c>
    </row>
    <row r="11" spans="1:14" x14ac:dyDescent="0.2">
      <c r="A11" s="18">
        <v>4</v>
      </c>
      <c r="B11" s="24" t="s">
        <v>12</v>
      </c>
      <c r="C11" s="18">
        <v>80</v>
      </c>
      <c r="D11" s="19">
        <v>170</v>
      </c>
      <c r="E11" s="19">
        <v>174</v>
      </c>
      <c r="F11" s="19">
        <v>171</v>
      </c>
      <c r="G11" s="19">
        <v>82</v>
      </c>
      <c r="H11" s="19">
        <v>174</v>
      </c>
      <c r="I11" s="19">
        <v>133</v>
      </c>
      <c r="J11" s="19">
        <v>82</v>
      </c>
      <c r="K11" s="19">
        <v>138</v>
      </c>
      <c r="L11" s="19">
        <v>109</v>
      </c>
      <c r="M11" s="19">
        <v>80</v>
      </c>
      <c r="N11" s="19">
        <v>100</v>
      </c>
    </row>
    <row r="12" spans="1:14" x14ac:dyDescent="0.2">
      <c r="A12" s="18">
        <v>4</v>
      </c>
      <c r="B12" s="24" t="s">
        <v>13</v>
      </c>
      <c r="C12" s="18">
        <v>70</v>
      </c>
      <c r="D12" s="19">
        <v>119</v>
      </c>
      <c r="E12" s="19">
        <v>139</v>
      </c>
      <c r="F12" s="19">
        <v>136</v>
      </c>
      <c r="G12" s="19">
        <v>65</v>
      </c>
      <c r="H12" s="19">
        <v>156</v>
      </c>
      <c r="I12" s="19">
        <v>119</v>
      </c>
      <c r="J12" s="19">
        <v>65</v>
      </c>
      <c r="K12" s="19">
        <v>110</v>
      </c>
      <c r="L12" s="19">
        <v>87</v>
      </c>
      <c r="M12" s="19">
        <v>72</v>
      </c>
      <c r="N12" s="19">
        <v>90</v>
      </c>
    </row>
    <row r="13" spans="1:14" x14ac:dyDescent="0.2">
      <c r="A13" s="18">
        <v>4</v>
      </c>
      <c r="B13" s="24" t="s">
        <v>14</v>
      </c>
      <c r="C13" s="18">
        <v>60</v>
      </c>
      <c r="D13" s="19">
        <v>107</v>
      </c>
      <c r="E13" s="19">
        <v>97</v>
      </c>
      <c r="F13" s="19">
        <v>95</v>
      </c>
      <c r="G13" s="19">
        <v>45</v>
      </c>
      <c r="H13" s="19">
        <v>124</v>
      </c>
      <c r="I13" s="19">
        <v>107</v>
      </c>
      <c r="J13" s="19">
        <v>45</v>
      </c>
      <c r="K13" s="19">
        <v>77</v>
      </c>
      <c r="L13" s="19">
        <v>60</v>
      </c>
      <c r="M13" s="19">
        <v>57</v>
      </c>
      <c r="N13" s="19">
        <v>72</v>
      </c>
    </row>
    <row r="14" spans="1:14" x14ac:dyDescent="0.2">
      <c r="A14" s="18">
        <v>5</v>
      </c>
      <c r="B14" s="24" t="s">
        <v>12</v>
      </c>
      <c r="C14" s="18">
        <v>70</v>
      </c>
      <c r="D14" s="19">
        <v>186</v>
      </c>
      <c r="E14" s="19">
        <v>184</v>
      </c>
      <c r="F14" s="19">
        <v>161</v>
      </c>
      <c r="G14" s="19">
        <v>151</v>
      </c>
      <c r="H14" s="19">
        <v>180</v>
      </c>
      <c r="I14" s="19">
        <v>116</v>
      </c>
      <c r="J14" s="19">
        <v>166</v>
      </c>
      <c r="K14" s="19">
        <v>144</v>
      </c>
      <c r="L14" s="19">
        <v>89</v>
      </c>
      <c r="M14" s="19">
        <v>76</v>
      </c>
      <c r="N14" s="19">
        <v>176</v>
      </c>
    </row>
    <row r="15" spans="1:14" x14ac:dyDescent="0.2">
      <c r="A15" s="18">
        <v>5</v>
      </c>
      <c r="B15" s="18" t="s">
        <v>13</v>
      </c>
      <c r="C15" s="18">
        <v>60</v>
      </c>
      <c r="D15" s="19">
        <v>148</v>
      </c>
      <c r="E15" s="19">
        <v>147</v>
      </c>
      <c r="F15" s="19">
        <v>128</v>
      </c>
      <c r="G15" s="19">
        <v>105</v>
      </c>
      <c r="H15" s="19">
        <v>126</v>
      </c>
      <c r="I15" s="19">
        <v>81</v>
      </c>
      <c r="J15" s="19">
        <v>149</v>
      </c>
      <c r="K15" s="19">
        <v>115</v>
      </c>
      <c r="L15" s="19">
        <v>71</v>
      </c>
      <c r="M15" s="19">
        <v>53</v>
      </c>
      <c r="N15" s="19">
        <v>140</v>
      </c>
    </row>
    <row r="16" spans="1:14" x14ac:dyDescent="0.2">
      <c r="A16" s="18">
        <v>5</v>
      </c>
      <c r="B16" s="18" t="s">
        <v>14</v>
      </c>
      <c r="C16" s="18">
        <v>30</v>
      </c>
      <c r="D16" s="19">
        <v>118</v>
      </c>
      <c r="E16" s="19">
        <v>132</v>
      </c>
      <c r="F16" s="19">
        <v>115</v>
      </c>
      <c r="G16" s="19">
        <v>73</v>
      </c>
      <c r="H16" s="19">
        <v>100</v>
      </c>
      <c r="I16" s="19">
        <v>56</v>
      </c>
      <c r="J16" s="19">
        <v>119</v>
      </c>
      <c r="K16" s="19">
        <v>103</v>
      </c>
      <c r="L16" s="19">
        <v>56</v>
      </c>
      <c r="M16" s="19">
        <v>47</v>
      </c>
      <c r="N16" s="19">
        <v>112</v>
      </c>
    </row>
    <row r="17" spans="1:14" x14ac:dyDescent="0.2">
      <c r="A17" s="18">
        <v>6</v>
      </c>
      <c r="B17" s="18" t="s">
        <v>12</v>
      </c>
      <c r="C17" s="18">
        <v>80</v>
      </c>
      <c r="D17" s="19">
        <v>149</v>
      </c>
      <c r="E17" s="19">
        <v>163</v>
      </c>
      <c r="F17" s="19">
        <v>122</v>
      </c>
      <c r="G17" s="19">
        <v>198</v>
      </c>
      <c r="H17" s="19">
        <v>96</v>
      </c>
      <c r="I17" s="19">
        <v>150</v>
      </c>
      <c r="J17" s="19">
        <v>162</v>
      </c>
      <c r="K17" s="19">
        <v>190</v>
      </c>
      <c r="L17" s="19">
        <v>102</v>
      </c>
      <c r="M17" s="19">
        <v>117</v>
      </c>
      <c r="N17" s="19">
        <v>176</v>
      </c>
    </row>
    <row r="18" spans="1:14" x14ac:dyDescent="0.2">
      <c r="A18" s="18">
        <v>6</v>
      </c>
      <c r="B18" s="18" t="s">
        <v>13</v>
      </c>
      <c r="C18" s="18">
        <v>70</v>
      </c>
      <c r="D18" s="19">
        <v>119</v>
      </c>
      <c r="E18" s="19">
        <v>146</v>
      </c>
      <c r="F18" s="19">
        <v>85</v>
      </c>
      <c r="G18" s="19">
        <v>138</v>
      </c>
      <c r="H18" s="19">
        <v>86</v>
      </c>
      <c r="I18" s="19">
        <v>120</v>
      </c>
      <c r="J18" s="19">
        <v>129</v>
      </c>
      <c r="K18" s="19">
        <v>133</v>
      </c>
      <c r="L18" s="19">
        <v>91</v>
      </c>
      <c r="M18" s="19">
        <v>93</v>
      </c>
      <c r="N18" s="19">
        <v>123</v>
      </c>
    </row>
    <row r="19" spans="1:14" x14ac:dyDescent="0.2">
      <c r="A19" s="18">
        <v>6</v>
      </c>
      <c r="B19" s="18" t="s">
        <v>14</v>
      </c>
      <c r="C19" s="18">
        <v>40</v>
      </c>
      <c r="D19" s="19">
        <v>107</v>
      </c>
      <c r="E19" s="19">
        <v>131</v>
      </c>
      <c r="F19" s="19">
        <v>76</v>
      </c>
      <c r="G19" s="19">
        <v>110</v>
      </c>
      <c r="H19" s="19">
        <v>60</v>
      </c>
      <c r="I19" s="19">
        <v>84</v>
      </c>
      <c r="J19" s="19">
        <v>116</v>
      </c>
      <c r="K19" s="19">
        <v>119</v>
      </c>
      <c r="L19" s="19">
        <v>81</v>
      </c>
      <c r="M19" s="19">
        <v>74</v>
      </c>
      <c r="N19" s="19">
        <v>98</v>
      </c>
    </row>
    <row r="21" spans="1:14" ht="18" customHeight="1" x14ac:dyDescent="0.2"/>
    <row r="22" spans="1:14" ht="14.25" customHeight="1" x14ac:dyDescent="0.2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Zalo Excel</vt:lpstr>
      <vt:lpstr>Tài trợ</vt:lpstr>
      <vt:lpstr>DASBOARD</vt:lpstr>
      <vt:lpstr>Processing</vt:lpstr>
      <vt:lpstr>Data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2019-03-20T07:06:04Z</dcterms:created>
  <dcterms:modified xsi:type="dcterms:W3CDTF">2022-03-29T01:17:39Z</dcterms:modified>
</cp:coreProperties>
</file>