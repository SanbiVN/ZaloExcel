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B481F202-DCDC-4B62-AA32-BF47A0D57392}" xr6:coauthVersionLast="47" xr6:coauthVersionMax="47" xr10:uidLastSave="{00000000-0000-0000-0000-000000000000}"/>
  <bookViews>
    <workbookView xWindow="1440" yWindow="1440" windowWidth="27300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functionGroups builtInGroupCount="19"/>
  <externalReferences>
    <externalReference r:id="rId6"/>
  </externalReferences>
  <definedNames>
    <definedName name="Calibri">#REF!</definedName>
    <definedName name="Music0" hidden="1" xlm="1">[1]Music!$A$3:$G$37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<sst xmlns="http://schemas.openxmlformats.org/spreadsheetml/2006/main" count="87" uniqueCount="39">
  <si>
    <t>[Bộ nhớ tạm]</t>
  </si>
  <si>
    <t>Dán trong bộ nhớ tạm</t>
  </si>
  <si>
    <t>cloud của tôi</t>
  </si>
  <si>
    <t>"Group 24//'[6//'[ZaloExcel-v1.0.2.xlsm]DASBOARD'","Oval Callout 19//'[24//'[ZaloExcel-v1.0.2.xlsm]DASBOARD'","Picture 26//'[25//'[ZaloExcel-v1.0.2.xlsm]DASBOARD'"</t>
  </si>
  <si>
    <t>Đính kèm biểu đồ</t>
  </si>
  <si>
    <t>"'[ZaloExcel-v1.0.2.xlsm]Zalo Excel'!B$3:C$8","'[ZaloExcel-v1.0.2.xlsm]Zalo Excel'!F$3:G$7"</t>
  </si>
  <si>
    <t>Đính kèm hình ảnh ô</t>
  </si>
  <si>
    <t>"D:\DevCode\Excel\HeSanbiUDF\ZaloExcel\ZaloExcel-v1.0.2.xlsm"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</si>
  <si>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</si>
  <si>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</si>
  <si>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</si>
  <si>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</si>
  <si>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</si>
  <si>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</si>
  <si>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</si>
  <si>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</si>
  <si>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</si>
  <si>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</si>
  <si>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</si>
  <si>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</si>
  <si>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</si>
  <si>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</si>
  <si>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</si>
  <si>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</si>
  <si>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</si>
  <si>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</si>
  <si>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</si>
  <si>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</si>
  <si>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</si>
  <si>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</si>
  <si>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</si>
  <si>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</si>
  <si>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</si>
  <si>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</si>
  <si>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</si>
  <si>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</si>
  <si>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</si>
  <si>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</si>
  <si>
    <t>Zalo v1.3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</si>
</sst>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  <xf numFmtId="0" fontId="32" fillId="0" borderId="4" xfId="5" applyBorder="1" applyAlignment="1">
      <alignment horizontal="center" vertical="center"/>
    </xf>
    <xf numFmtId="0" fontId="32" fillId="0" borderId="3" xfId="5" applyBorder="1" applyAlignment="1">
      <alignment horizontal="center" vertical="center"/>
    </xf>
    <xf numFmtId="0" fontId="32" fillId="0" borderId="2" xfId="5" applyBorder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  <xdr:absoluteAnchor>
    <xdr:pos x="9544050" y="76200"/>
    <xdr:ext cx="904875" cy="219075"/>
    <xdr:sp macro="[0]!btnUpdateCode" textlink="">
      <xdr:nvSpPr>
        <xdr:cNvPr id="24" name="btnChromeClose">
          <a:extLst>
            <a:ext uri="{FF2B5EF4-FFF2-40B4-BE49-F238E27FC236}">
              <a16:creationId xmlns:a16="http://schemas.microsoft.com/office/drawing/2014/main" id="{716C9295-BA27-4C78-9091-9F8963918909}"/>
            </a:ext>
          </a:extLst>
        </xdr:cNvPr>
        <xdr:cNvSpPr/>
      </xdr:nvSpPr>
      <xdr:spPr>
        <a:xfrm>
          <a:off x="9544050" y="76200"/>
          <a:ext cx="904875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mã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D12" sqref="D12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38</v>
      </c>
      <c r="C1" s="21" t="s">
        <v>17</v>
      </c>
      <c r="D1" s="21"/>
      <c r="E1" s="19"/>
      <c r="F1" s="19"/>
      <c r="G1" s="19"/>
      <c r="H1" s="19"/>
      <c r="I1" s="20" t="s">
        <v>16</v>
      </c>
      <c r="J1" s="20" t="s">
        <v>16</v>
      </c>
      <c r="K1" s="20" t="s">
        <v>16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15</v>
      </c>
      <c r="C3" s="17" t="s">
        <v>14</v>
      </c>
      <c r="D3" s="17" t="s">
        <v>13</v>
      </c>
      <c r="E3" s="16" t="s">
        <v>12</v>
      </c>
      <c r="F3" s="16" t="s">
        <v>11</v>
      </c>
      <c r="G3" s="16" t="s">
        <v>10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2</v>
      </c>
      <c r="C4" s="6" t="s">
        <v>9</v>
      </c>
      <c r="D4" s="5"/>
      <c r="E4" s="4"/>
      <c r="F4" s="10"/>
      <c r="G4" s="4"/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2</v>
      </c>
      <c r="C5" s="6" t="s">
        <v>8</v>
      </c>
      <c r="D5" s="15" t="s">
        <v>7</v>
      </c>
      <c r="E5" s="4"/>
      <c r="F5" s="10"/>
      <c r="G5" s="4"/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2</v>
      </c>
      <c r="C6" s="6" t="s">
        <v>6</v>
      </c>
      <c r="D6" s="14" t="s">
        <v>5</v>
      </c>
      <c r="E6" s="4"/>
      <c r="F6" s="10"/>
      <c r="G6" s="4"/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2</v>
      </c>
      <c r="C7" s="6" t="s">
        <v>4</v>
      </c>
      <c r="D7" s="13" t="s">
        <v>3</v>
      </c>
      <c r="E7" s="4"/>
      <c r="F7" s="10"/>
      <c r="G7" s="4"/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2</v>
      </c>
      <c r="C8" s="6" t="s">
        <v>1</v>
      </c>
      <c r="D8" s="11" t="s">
        <v>0</v>
      </c>
      <c r="E8" s="4"/>
      <c r="F8" s="10"/>
      <c r="G8" s="4"/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9" sqref="C9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16</v>
      </c>
      <c r="C1" s="20" t="s">
        <v>16</v>
      </c>
      <c r="D1" s="20" t="s">
        <v>16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ht="23.25" x14ac:dyDescent="0.35">
      <c r="P3" s="28" t="str">
        <f>UPPER(INDEX(Data!C1:N1,1,Processing!$K$1))</f>
        <v>JANUARY</v>
      </c>
    </row>
    <row r="6" spans="16:24" ht="23.25" x14ac:dyDescent="0.35">
      <c r="P6" s="27" t="str">
        <f>Processing!L3</f>
        <v>GROUPS</v>
      </c>
    </row>
    <row r="8" spans="16:24" ht="23.25" x14ac:dyDescent="0.35">
      <c r="P8" s="25" t="s">
        <v>20</v>
      </c>
    </row>
    <row r="9" spans="16:24" x14ac:dyDescent="0.2">
      <c r="P9" s="26"/>
    </row>
    <row r="10" spans="16:24" ht="23.25" x14ac:dyDescent="0.35">
      <c r="P10" s="25" t="s">
        <v>19</v>
      </c>
    </row>
    <row r="11" spans="16:24" x14ac:dyDescent="0.2">
      <c r="P11" s="26"/>
    </row>
    <row r="12" spans="16:24" ht="23.25" x14ac:dyDescent="0.35">
      <c r="P12" s="25" t="s">
        <v>18</v>
      </c>
    </row>
    <row r="15" spans="16:24" ht="14.25" customHeight="1" x14ac:dyDescent="0.2"/>
    <row r="16" spans="16:24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ht="18" customHeight="1" x14ac:dyDescent="0.25">
      <c r="U18" s="24"/>
      <c r="V18" s="24"/>
      <c r="W18" s="24"/>
      <c r="X18" s="24"/>
    </row>
    <row r="19" spans="16:24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7">
        <v>1</v>
      </c>
      <c r="B1" s="32" t="s">
        <v>20</v>
      </c>
      <c r="C1" s="32">
        <v>0</v>
      </c>
      <c r="D1" s="32">
        <v>0</v>
      </c>
      <c r="E1" s="32">
        <v>0</v>
      </c>
      <c r="F1" s="32">
        <f>INDEX(Data!$C$2:$N$19,ROW(),Processing!$K$1)</f>
        <v>100</v>
      </c>
      <c r="G1" s="32">
        <f>F1*$K$4</f>
        <v>100</v>
      </c>
      <c r="H1" s="32">
        <v>0</v>
      </c>
      <c r="I1" s="37">
        <f>ROUND(SUM(C1:H3)/SUM($C$1:$H$18)*100,0)</f>
        <v>22</v>
      </c>
      <c r="J1" s="37" t="str">
        <f>I1&amp;"%"</f>
        <v>22%</v>
      </c>
      <c r="K1" s="33">
        <v>1</v>
      </c>
      <c r="L1" s="29" t="s">
        <v>23</v>
      </c>
      <c r="N1" s="29" t="s">
        <v>22</v>
      </c>
    </row>
    <row r="2" spans="1:14" x14ac:dyDescent="0.2">
      <c r="A2" s="38"/>
      <c r="B2" s="31" t="s">
        <v>19</v>
      </c>
      <c r="C2" s="31">
        <v>0</v>
      </c>
      <c r="D2" s="31">
        <v>0</v>
      </c>
      <c r="E2" s="31">
        <v>0</v>
      </c>
      <c r="F2" s="31">
        <f>INDEX(Data!$C$2:$N$19,ROW(),Processing!$K$1)</f>
        <v>90</v>
      </c>
      <c r="G2" s="31">
        <f>F2*$K$5</f>
        <v>90</v>
      </c>
      <c r="H2" s="31">
        <v>0</v>
      </c>
      <c r="I2" s="38"/>
      <c r="J2" s="38"/>
      <c r="N2" s="29">
        <f>I1</f>
        <v>22</v>
      </c>
    </row>
    <row r="3" spans="1:14" ht="15" thickBot="1" x14ac:dyDescent="0.25">
      <c r="A3" s="39"/>
      <c r="B3" s="30" t="s">
        <v>18</v>
      </c>
      <c r="C3" s="30">
        <v>0</v>
      </c>
      <c r="D3" s="30">
        <v>0</v>
      </c>
      <c r="E3" s="30">
        <v>0</v>
      </c>
      <c r="F3" s="30">
        <f>INDEX(Data!$C$2:$N$19,ROW(),Processing!$K$1)</f>
        <v>70</v>
      </c>
      <c r="G3" s="30">
        <f>F3*$K$6</f>
        <v>70</v>
      </c>
      <c r="H3" s="30">
        <v>0</v>
      </c>
      <c r="I3" s="39"/>
      <c r="J3" s="39"/>
      <c r="L3" s="29" t="s">
        <v>21</v>
      </c>
      <c r="N3" s="29">
        <f>I4</f>
        <v>17</v>
      </c>
    </row>
    <row r="4" spans="1:14" ht="15" thickTop="1" x14ac:dyDescent="0.2">
      <c r="A4" s="37">
        <v>2</v>
      </c>
      <c r="B4" s="32" t="s">
        <v>20</v>
      </c>
      <c r="C4" s="32">
        <v>0</v>
      </c>
      <c r="D4" s="32">
        <v>0</v>
      </c>
      <c r="E4" s="32">
        <v>0</v>
      </c>
      <c r="F4" s="32">
        <v>0</v>
      </c>
      <c r="G4" s="32">
        <f>INDEX(Data!$C$2:$N$19,ROW(),Processing!$K$1)</f>
        <v>80</v>
      </c>
      <c r="H4" s="32">
        <f>G4*$K$4</f>
        <v>80</v>
      </c>
      <c r="I4" s="37">
        <f>ROUND(SUM(C4:H6)/SUM($C$1:$H$18)*100,0)</f>
        <v>17</v>
      </c>
      <c r="J4" s="37" t="str">
        <f>I4&amp;"%"</f>
        <v>17%</v>
      </c>
      <c r="K4" s="29" t="b">
        <v>1</v>
      </c>
      <c r="L4" s="29" t="s">
        <v>20</v>
      </c>
      <c r="N4" s="29">
        <f>I7</f>
        <v>13</v>
      </c>
    </row>
    <row r="5" spans="1:14" x14ac:dyDescent="0.2">
      <c r="A5" s="38"/>
      <c r="B5" s="31" t="s">
        <v>19</v>
      </c>
      <c r="C5" s="31">
        <v>0</v>
      </c>
      <c r="D5" s="31">
        <v>0</v>
      </c>
      <c r="E5" s="31">
        <v>0</v>
      </c>
      <c r="F5" s="31">
        <v>0</v>
      </c>
      <c r="G5" s="31">
        <f>INDEX(Data!$C$2:$N$19,ROW(),Processing!$K$1)</f>
        <v>70</v>
      </c>
      <c r="H5" s="31">
        <f>G5*$K$5</f>
        <v>70</v>
      </c>
      <c r="I5" s="38"/>
      <c r="J5" s="38"/>
      <c r="K5" s="29" t="b">
        <v>1</v>
      </c>
      <c r="L5" s="29" t="s">
        <v>19</v>
      </c>
      <c r="N5" s="29">
        <f>I10</f>
        <v>18</v>
      </c>
    </row>
    <row r="6" spans="1:14" ht="15" thickBot="1" x14ac:dyDescent="0.25">
      <c r="A6" s="39"/>
      <c r="B6" s="30" t="s">
        <v>18</v>
      </c>
      <c r="C6" s="30">
        <v>0</v>
      </c>
      <c r="D6" s="30">
        <v>0</v>
      </c>
      <c r="E6" s="30">
        <v>0</v>
      </c>
      <c r="F6" s="30">
        <v>0</v>
      </c>
      <c r="G6" s="30">
        <f>INDEX(Data!$C$2:$N$19,ROW(),Processing!$K$1)</f>
        <v>50</v>
      </c>
      <c r="H6" s="30">
        <f>G6*$K$6</f>
        <v>50</v>
      </c>
      <c r="I6" s="39"/>
      <c r="J6" s="39"/>
      <c r="K6" s="29" t="b">
        <v>1</v>
      </c>
      <c r="L6" s="29" t="s">
        <v>18</v>
      </c>
      <c r="N6" s="29">
        <f>I13</f>
        <v>14</v>
      </c>
    </row>
    <row r="7" spans="1:14" ht="15" thickTop="1" x14ac:dyDescent="0.2">
      <c r="A7" s="37">
        <v>3</v>
      </c>
      <c r="B7" s="32" t="s">
        <v>20</v>
      </c>
      <c r="C7" s="32">
        <f>INDEX(Data!$C$2:$N$19,ROW(),Processing!$K$1)</f>
        <v>60</v>
      </c>
      <c r="D7" s="32">
        <v>0</v>
      </c>
      <c r="E7" s="32">
        <v>0</v>
      </c>
      <c r="F7" s="32">
        <v>0</v>
      </c>
      <c r="G7" s="32">
        <v>0</v>
      </c>
      <c r="H7" s="32">
        <f>C7*$K$4</f>
        <v>60</v>
      </c>
      <c r="I7" s="37">
        <f>ROUND(SUM(C7:H9)/SUM($C$1:$H$18)*100,0)</f>
        <v>13</v>
      </c>
      <c r="J7" s="37" t="str">
        <f>I7&amp;"%"</f>
        <v>13%</v>
      </c>
      <c r="N7" s="29">
        <f>I16</f>
        <v>16</v>
      </c>
    </row>
    <row r="8" spans="1:14" x14ac:dyDescent="0.2">
      <c r="A8" s="38"/>
      <c r="B8" s="31" t="s">
        <v>19</v>
      </c>
      <c r="C8" s="31">
        <f>INDEX(Data!$C$2:$N$19,ROW(),Processing!$K$1)</f>
        <v>50</v>
      </c>
      <c r="D8" s="31">
        <v>0</v>
      </c>
      <c r="E8" s="31">
        <v>0</v>
      </c>
      <c r="F8" s="31">
        <v>0</v>
      </c>
      <c r="G8" s="31">
        <v>0</v>
      </c>
      <c r="H8" s="31">
        <f>C8*$K$5</f>
        <v>50</v>
      </c>
      <c r="I8" s="38"/>
      <c r="J8" s="38"/>
    </row>
    <row r="9" spans="1:14" ht="15" thickBot="1" x14ac:dyDescent="0.25">
      <c r="A9" s="39"/>
      <c r="B9" s="30" t="s">
        <v>18</v>
      </c>
      <c r="C9" s="30">
        <f>INDEX(Data!$C$2:$N$19,ROW(),Processing!$K$1)</f>
        <v>40</v>
      </c>
      <c r="D9" s="30">
        <v>0</v>
      </c>
      <c r="E9" s="30">
        <v>0</v>
      </c>
      <c r="F9" s="30">
        <v>0</v>
      </c>
      <c r="G9" s="30">
        <v>0</v>
      </c>
      <c r="H9" s="30">
        <f>C9*$K$6</f>
        <v>40</v>
      </c>
      <c r="I9" s="39"/>
      <c r="J9" s="39"/>
    </row>
    <row r="10" spans="1:14" ht="15" thickTop="1" x14ac:dyDescent="0.2">
      <c r="A10" s="37">
        <v>4</v>
      </c>
      <c r="B10" s="32" t="s">
        <v>20</v>
      </c>
      <c r="C10" s="32">
        <f>INDEX(Data!$C$2:$N$19,ROW(),Processing!$K$1)</f>
        <v>80</v>
      </c>
      <c r="D10" s="32">
        <f>C10*$K$4</f>
        <v>80</v>
      </c>
      <c r="E10" s="32">
        <v>0</v>
      </c>
      <c r="F10" s="32">
        <v>0</v>
      </c>
      <c r="G10" s="32">
        <v>0</v>
      </c>
      <c r="H10" s="32">
        <v>0</v>
      </c>
      <c r="I10" s="37">
        <f>ROUND(SUM(C10:H12)/SUM($C$1:$H$18)*100,0)</f>
        <v>18</v>
      </c>
      <c r="J10" s="37" t="str">
        <f>I10&amp;"%"</f>
        <v>18%</v>
      </c>
    </row>
    <row r="11" spans="1:14" x14ac:dyDescent="0.2">
      <c r="A11" s="38"/>
      <c r="B11" s="31" t="s">
        <v>19</v>
      </c>
      <c r="C11" s="31">
        <f>INDEX(Data!$C$2:$N$19,ROW(),Processing!$K$1)</f>
        <v>70</v>
      </c>
      <c r="D11" s="31">
        <f>C11*$K$5</f>
        <v>70</v>
      </c>
      <c r="E11" s="31">
        <v>0</v>
      </c>
      <c r="F11" s="31">
        <v>0</v>
      </c>
      <c r="G11" s="31">
        <v>0</v>
      </c>
      <c r="H11" s="31">
        <v>0</v>
      </c>
      <c r="I11" s="38"/>
      <c r="J11" s="38"/>
    </row>
    <row r="12" spans="1:14" ht="15" thickBot="1" x14ac:dyDescent="0.25">
      <c r="A12" s="39"/>
      <c r="B12" s="30" t="s">
        <v>18</v>
      </c>
      <c r="C12" s="30">
        <f>INDEX(Data!$C$2:$N$19,ROW(),Processing!$K$1)</f>
        <v>60</v>
      </c>
      <c r="D12" s="30">
        <f>C12*$K$6</f>
        <v>60</v>
      </c>
      <c r="E12" s="30">
        <v>0</v>
      </c>
      <c r="F12" s="30">
        <v>0</v>
      </c>
      <c r="G12" s="30">
        <v>0</v>
      </c>
      <c r="H12" s="30">
        <v>0</v>
      </c>
      <c r="I12" s="39"/>
      <c r="J12" s="39"/>
    </row>
    <row r="13" spans="1:14" ht="15" thickTop="1" x14ac:dyDescent="0.2">
      <c r="A13" s="37">
        <v>5</v>
      </c>
      <c r="B13" s="32" t="s">
        <v>20</v>
      </c>
      <c r="C13" s="32">
        <v>0</v>
      </c>
      <c r="D13" s="32">
        <f>INDEX(Data!$C$2:$N$19,ROW(),Processing!$K$1)</f>
        <v>70</v>
      </c>
      <c r="E13" s="32">
        <f>D13*$K$4</f>
        <v>70</v>
      </c>
      <c r="F13" s="32">
        <v>0</v>
      </c>
      <c r="G13" s="32">
        <v>0</v>
      </c>
      <c r="H13" s="32">
        <v>0</v>
      </c>
      <c r="I13" s="37">
        <f>ROUND(SUM(C13:H15)/SUM($C$1:$H$18)*100,0)</f>
        <v>14</v>
      </c>
      <c r="J13" s="37" t="str">
        <f>I13&amp;"%"</f>
        <v>14%</v>
      </c>
    </row>
    <row r="14" spans="1:14" x14ac:dyDescent="0.2">
      <c r="A14" s="38"/>
      <c r="B14" s="31" t="s">
        <v>19</v>
      </c>
      <c r="C14" s="31">
        <v>0</v>
      </c>
      <c r="D14" s="31">
        <f>INDEX(Data!$C$2:$N$19,ROW(),Processing!$K$1)</f>
        <v>60</v>
      </c>
      <c r="E14" s="31">
        <f>D14*$K$5</f>
        <v>60</v>
      </c>
      <c r="F14" s="31">
        <v>0</v>
      </c>
      <c r="G14" s="31">
        <v>0</v>
      </c>
      <c r="H14" s="31">
        <v>0</v>
      </c>
      <c r="I14" s="38"/>
      <c r="J14" s="38"/>
    </row>
    <row r="15" spans="1:14" ht="15" thickBot="1" x14ac:dyDescent="0.25">
      <c r="A15" s="39"/>
      <c r="B15" s="30" t="s">
        <v>18</v>
      </c>
      <c r="C15" s="30">
        <v>0</v>
      </c>
      <c r="D15" s="30">
        <f>INDEX(Data!$C$2:$N$19,ROW(),Processing!$K$1)</f>
        <v>30</v>
      </c>
      <c r="E15" s="30">
        <f>D15*$K$6</f>
        <v>30</v>
      </c>
      <c r="F15" s="30">
        <v>0</v>
      </c>
      <c r="G15" s="30">
        <v>0</v>
      </c>
      <c r="H15" s="30">
        <v>0</v>
      </c>
      <c r="I15" s="39"/>
      <c r="J15" s="39"/>
    </row>
    <row r="16" spans="1:14" ht="15" thickTop="1" x14ac:dyDescent="0.2">
      <c r="A16" s="37">
        <v>6</v>
      </c>
      <c r="B16" s="32" t="s">
        <v>20</v>
      </c>
      <c r="C16" s="32">
        <v>0</v>
      </c>
      <c r="D16" s="32">
        <v>0</v>
      </c>
      <c r="E16" s="32">
        <f>INDEX(Data!$C$2:$N$19,ROW(),Processing!$K$1)</f>
        <v>80</v>
      </c>
      <c r="F16" s="32">
        <f>E16*$K$4</f>
        <v>80</v>
      </c>
      <c r="G16" s="32">
        <v>0</v>
      </c>
      <c r="H16" s="32">
        <v>0</v>
      </c>
      <c r="I16" s="37">
        <f>ROUND(SUM(C16:H18)/SUM($C$1:$H$18)*100,0)</f>
        <v>16</v>
      </c>
      <c r="J16" s="37" t="str">
        <f>I16&amp;"%"</f>
        <v>16%</v>
      </c>
    </row>
    <row r="17" spans="1:10" x14ac:dyDescent="0.2">
      <c r="A17" s="38"/>
      <c r="B17" s="31" t="s">
        <v>19</v>
      </c>
      <c r="C17" s="31">
        <v>0</v>
      </c>
      <c r="D17" s="31">
        <v>0</v>
      </c>
      <c r="E17" s="31">
        <f>INDEX(Data!$C$2:$N$19,ROW(),Processing!$K$1)</f>
        <v>70</v>
      </c>
      <c r="F17" s="31">
        <f>E17*$K$5</f>
        <v>70</v>
      </c>
      <c r="G17" s="31">
        <v>0</v>
      </c>
      <c r="H17" s="31">
        <v>0</v>
      </c>
      <c r="I17" s="38"/>
      <c r="J17" s="38"/>
    </row>
    <row r="18" spans="1:10" ht="15" thickBot="1" x14ac:dyDescent="0.25">
      <c r="A18" s="39"/>
      <c r="B18" s="30" t="s">
        <v>18</v>
      </c>
      <c r="C18" s="30">
        <v>0</v>
      </c>
      <c r="D18" s="30">
        <v>0</v>
      </c>
      <c r="E18" s="30">
        <f>INDEX(Data!$C$2:$N$19,ROW(),Processing!$K$1)</f>
        <v>40</v>
      </c>
      <c r="F18" s="30">
        <f>E18*$K$6</f>
        <v>40</v>
      </c>
      <c r="G18" s="30">
        <v>0</v>
      </c>
      <c r="H18" s="30">
        <v>0</v>
      </c>
      <c r="I18" s="39"/>
      <c r="J18" s="3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3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6" t="s">
        <v>37</v>
      </c>
      <c r="B1" s="36" t="s">
        <v>36</v>
      </c>
      <c r="C1" s="36" t="s">
        <v>35</v>
      </c>
      <c r="D1" s="35" t="s">
        <v>34</v>
      </c>
      <c r="E1" s="35" t="s">
        <v>33</v>
      </c>
      <c r="F1" s="35" t="s">
        <v>32</v>
      </c>
      <c r="G1" s="35" t="s">
        <v>31</v>
      </c>
      <c r="H1" s="35" t="s">
        <v>30</v>
      </c>
      <c r="I1" s="35" t="s">
        <v>29</v>
      </c>
      <c r="J1" s="35" t="s">
        <v>28</v>
      </c>
      <c r="K1" s="35" t="s">
        <v>27</v>
      </c>
      <c r="L1" s="35" t="s">
        <v>26</v>
      </c>
      <c r="M1" s="35" t="s">
        <v>25</v>
      </c>
      <c r="N1" s="35" t="s">
        <v>24</v>
      </c>
    </row>
    <row r="2" spans="1:14" x14ac:dyDescent="0.2">
      <c r="A2" s="33">
        <v>1</v>
      </c>
      <c r="B2" s="34" t="s">
        <v>20</v>
      </c>
      <c r="C2" s="33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3">
        <v>1</v>
      </c>
      <c r="B3" s="34" t="s">
        <v>19</v>
      </c>
      <c r="C3" s="33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3">
        <v>1</v>
      </c>
      <c r="B4" s="34" t="s">
        <v>18</v>
      </c>
      <c r="C4" s="33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3">
        <v>2</v>
      </c>
      <c r="B5" s="34" t="s">
        <v>20</v>
      </c>
      <c r="C5" s="33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3">
        <v>2</v>
      </c>
      <c r="B6" s="34" t="s">
        <v>19</v>
      </c>
      <c r="C6" s="33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3">
        <v>2</v>
      </c>
      <c r="B7" s="34" t="s">
        <v>18</v>
      </c>
      <c r="C7" s="33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3">
        <v>3</v>
      </c>
      <c r="B8" s="34" t="s">
        <v>20</v>
      </c>
      <c r="C8" s="33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3">
        <v>3</v>
      </c>
      <c r="B9" s="34" t="s">
        <v>19</v>
      </c>
      <c r="C9" s="33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3">
        <v>3</v>
      </c>
      <c r="B10" s="34" t="s">
        <v>18</v>
      </c>
      <c r="C10" s="33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3">
        <v>4</v>
      </c>
      <c r="B11" s="34" t="s">
        <v>20</v>
      </c>
      <c r="C11" s="33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3">
        <v>4</v>
      </c>
      <c r="B12" s="34" t="s">
        <v>19</v>
      </c>
      <c r="C12" s="33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3">
        <v>4</v>
      </c>
      <c r="B13" s="34" t="s">
        <v>18</v>
      </c>
      <c r="C13" s="33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3">
        <v>5</v>
      </c>
      <c r="B14" s="34" t="s">
        <v>20</v>
      </c>
      <c r="C14" s="33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3">
        <v>5</v>
      </c>
      <c r="B15" s="33" t="s">
        <v>19</v>
      </c>
      <c r="C15" s="33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3">
        <v>5</v>
      </c>
      <c r="B16" s="33" t="s">
        <v>18</v>
      </c>
      <c r="C16" s="33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3">
        <v>6</v>
      </c>
      <c r="B17" s="33" t="s">
        <v>20</v>
      </c>
      <c r="C17" s="33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3">
        <v>6</v>
      </c>
      <c r="B18" s="33" t="s">
        <v>19</v>
      </c>
      <c r="C18" s="33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3">
        <v>6</v>
      </c>
      <c r="B19" s="33" t="s">
        <v>18</v>
      </c>
      <c r="C19" s="33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2022-04-23T05:09:34Z</dcterms:modified>
</cp:coreProperties>
</file>