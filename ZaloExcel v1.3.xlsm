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CD5D8171-6FE6-4303-99B9-EF60538BEDDD}" xr6:coauthVersionLast="47" xr6:coauthVersionMax="47" xr10:uidLastSave="{00000000-0000-0000-0000-000000000000}"/>
  <bookViews>
    <workbookView xWindow="885" yWindow="870" windowWidth="27300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functionGroups builtInGroupCount="19"/>
  <externalReferences>
    <externalReference r:id="rId6"/>
    <externalReference r:id="rId7"/>
  </externalReferences>
  <definedNames>
    <definedName name="Calibri">#REF!</definedName>
    <definedName name="Music0" hidden="1" xlm="1">[2]Music!$A$3:$G$37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<sst xmlns="http://schemas.openxmlformats.org/spreadsheetml/2006/main" count="87" uniqueCount="39">
  <si>
    <t>[Bộ nhớ tạm]</t>
  </si>
  <si>
    <t>Dán trong bộ nhớ tạm</t>
  </si>
  <si>
    <t>cloud của tôi</t>
  </si>
  <si>
    <t>"Group 24//'[6//'[ZaloExcel-v1.0.2.xlsm]DASBOARD'","Oval Callout 19//'[24//'[ZaloExcel-v1.0.2.xlsm]DASBOARD'","Picture 26//'[25//'[ZaloExcel-v1.0.2.xlsm]DASBOARD'"</t>
  </si>
  <si>
    <t>Đính kèm biểu đồ</t>
  </si>
  <si>
    <t>"'[ZaloExcel-v1.0.2.xlsm]Zalo Excel'!B$3:C$8","'[ZaloExcel-v1.0.2.xlsm]Zalo Excel'!F$3:G$7"</t>
  </si>
  <si>
    <t>Đính kèm hình ảnh ô</t>
  </si>
  <si>
    <t>"D:\DevCode\Excel\HeSanbiUDF\ZaloExcel\ZaloExcel-v1.0.2.xlsm"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</si>
  <si>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</si>
  <si>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</si>
  <si>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</si>
  <si>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</si>
  <si>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</si>
  <si>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</si>
  <si>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</si>
  <si>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</si>
  <si>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</si>
  <si>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</si>
  <si>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Zalo v1.0.2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</si>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</sst>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 vertical="center"/>
    </xf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 vertic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 vertic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A20FA89-379D-4E6C-A98E-9D2C076F5E67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40B6FA33-4995-4123-8EF7-1150493B9AAB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5DFF2051-D705-43A3-B6A9-AFD59152D97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4DA9A624-DB42-4A25-9867-B9FB4664978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D4283051-AB2A-4C45-9D42-FBD7AA616186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5B051DD8-C61C-4286-BE77-A245388A0408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687E1340-1033-4D88-AE9E-1F2AD965428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AEFE5D55-E86A-4C8D-A8CF-6048927DAF3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44E1740B-B2E1-49EB-B41C-3E019D72910F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8BFD3CEB-A3FF-4E95-97BC-23B5184BC9E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F51C108E-5099-4A0D-A46F-912589C2EC29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5D0D5AA5-4381-4F8C-ADB9-6DB2106FE85F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FDEB76DF-A134-4F56-915A-4197D2DD0A9D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4772025" y="457200"/>
        <xdr:ext cx="1314450" cy="219075"/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83092491-25FF-45FA-88E8-F9DDDB9D5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absolute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FC8FF1E3-E1BD-418E-900C-40B8032A3F97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E78A4E8D-D0A0-4726-8BF4-929AFDF848A8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absoluteAnchor>
        <xdr:pos x="7581900" y="428625"/>
        <xdr:ext cx="1390650" cy="238125"/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15947486-1885-489B-8C7E-CA98C586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absolute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2F5B45AC-EA17-484F-BB08-ADAC1DB7E6C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7DAB2C7E-06FC-4733-AE7E-F3AD3348FD3C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A20553C0-00A6-42C0-B007-9EEF7D18ABE9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E76DB9AF-C522-4CAC-8116-890A89300562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1493FE43-5CF2-4DF4-92D1-ED0D927DBA51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C9C89B51-65AE-422B-91C8-CADB4DA795F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95AE2E39-8141-4CA2-B88B-2A2F63A2F69A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D48DB322-22E4-427E-8BA4-373B6CD36473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332E7273-21A4-4E96-B8D5-695C645F2415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57241118-7DEE-4002-834B-333AE653C7A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7EA0ADC2-9E61-4F6F-8C35-88D6CA452FC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8C8C209-CF24-4BE7-998F-5C8C37BC7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104775</xdr:colOff>
          <xdr:row>7</xdr:row>
          <xdr:rowOff>19050</xdr:rowOff>
        </xdr:from>
        <xdr:ext cx="1112375" cy="279842"/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50BECD6-5281-46BE-B6E2-A9CE31B35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104775</xdr:colOff>
          <xdr:row>9</xdr:row>
          <xdr:rowOff>19050</xdr:rowOff>
        </xdr:from>
        <xdr:ext cx="1112375" cy="279842"/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8668C976-2965-403C-A5B9-F52A4506E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104775</xdr:colOff>
          <xdr:row>11</xdr:row>
          <xdr:rowOff>19050</xdr:rowOff>
        </xdr:from>
        <xdr:ext cx="1112375" cy="279842"/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67CE730F-5883-4760-B96A-32A0D87A9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one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4FA11E6C-AE0E-457D-A4EC-EB588423F8A1}"/>
            </a:ext>
          </a:extLst>
        </xdr:cNvPr>
        <xdr:cNvGrpSpPr/>
      </xdr:nvGrpSpPr>
      <xdr:grpSpPr>
        <a:xfrm>
          <a:off x="5695227" y="36171"/>
          <a:ext cx="9632499" cy="6602506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AFA79CDE-C51D-4D15-978D-84481B957B7E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2FE60CA8-E70A-49F2-BD76-BF8F1034EDE6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4A81A5DA-047C-419F-B3A4-3D53DC657FDE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6E5849DA-2C05-49C8-824B-32BAE476F529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6C2534DC-573C-43A1-8500-5B99E9A71126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EAF6973E-FDF8-479C-B22F-BD464B96E036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FA5B20AB-DFB8-4825-9986-CFB4CF7C2099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C0CD2172-48D6-4598-926D-A7D42A5745C2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4C15DE01-506D-4138-A9FD-10603227B2EF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B8B40D21-4A7F-43D7-AB4D-FFF4EC239C7D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CC57A7A1-64A6-43BB-B459-993F06C0E62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FFA91B2F-3407-4294-AFA4-D5E9378255FC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C2D3FE23-080A-4A68-AB07-541D8EC5EB9D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A5F20082-4326-4C95-BC02-CF2246A783ED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F5EEF6C3-E71A-4BC8-AB89-83B73D6B20AE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707B8FC4-E0F5-43C4-A362-164C1043DDBC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D90366B4-AF08-4A01-AA57-0A6860FA43C8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AC552371-3E05-43A0-B47F-0E9ABA4ABCE6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87BAC3D7-0C08-4365-8B79-33656B22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aloExcel-v1.0.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C10" sqref="C10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18</v>
      </c>
      <c r="C1" s="21" t="s">
        <v>17</v>
      </c>
      <c r="D1" s="21"/>
      <c r="E1" s="19"/>
      <c r="F1" s="19"/>
      <c r="G1" s="19"/>
      <c r="H1" s="19"/>
      <c r="I1" s="20" t="s">
        <v>16</v>
      </c>
      <c r="J1" s="20" t="s">
        <v>16</v>
      </c>
      <c r="K1" s="20" t="s">
        <v>16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15</v>
      </c>
      <c r="C3" s="17" t="s">
        <v>14</v>
      </c>
      <c r="D3" s="17" t="s">
        <v>13</v>
      </c>
      <c r="E3" s="16" t="s">
        <v>12</v>
      </c>
      <c r="F3" s="16" t="s">
        <v>11</v>
      </c>
      <c r="G3" s="16" t="s">
        <v>10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2</v>
      </c>
      <c r="C4" s="6" t="s">
        <v>9</v>
      </c>
      <c r="D4" s="5"/>
      <c r="E4" s="4"/>
      <c r="F4" s="10"/>
      <c r="G4" s="4"/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2</v>
      </c>
      <c r="C5" s="6" t="s">
        <v>8</v>
      </c>
      <c r="D5" s="15" t="s">
        <v>7</v>
      </c>
      <c r="E5" s="4"/>
      <c r="F5" s="10"/>
      <c r="G5" s="4"/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2</v>
      </c>
      <c r="C6" s="6" t="s">
        <v>6</v>
      </c>
      <c r="D6" s="14" t="s">
        <v>5</v>
      </c>
      <c r="E6" s="4"/>
      <c r="F6" s="10"/>
      <c r="G6" s="4"/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2</v>
      </c>
      <c r="C7" s="6" t="s">
        <v>4</v>
      </c>
      <c r="D7" s="13" t="s">
        <v>3</v>
      </c>
      <c r="E7" s="4"/>
      <c r="F7" s="10"/>
      <c r="G7" s="4"/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2</v>
      </c>
      <c r="C8" s="6" t="s">
        <v>1</v>
      </c>
      <c r="D8" s="11" t="s">
        <v>0</v>
      </c>
      <c r="E8" s="4"/>
      <c r="F8" s="10"/>
      <c r="G8" s="4"/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9" sqref="C9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16</v>
      </c>
      <c r="C1" s="20" t="s">
        <v>16</v>
      </c>
      <c r="D1" s="20" t="s">
        <v>16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s="23" customFormat="1" ht="23.25" x14ac:dyDescent="0.35">
      <c r="P3" s="28" t="str">
        <f>UPPER(INDEX(Data!C1:N1,1,Processing!$K$1))</f>
        <v>JANUARY</v>
      </c>
    </row>
    <row r="6" spans="16:24" s="23" customFormat="1" ht="23.25" x14ac:dyDescent="0.35">
      <c r="P6" s="27" t="str">
        <f>Processing!L3</f>
        <v>GROUPS</v>
      </c>
    </row>
    <row r="8" spans="16:24" s="23" customFormat="1" ht="23.25" x14ac:dyDescent="0.35">
      <c r="P8" s="25" t="s">
        <v>21</v>
      </c>
    </row>
    <row r="9" spans="16:24" s="23" customFormat="1" x14ac:dyDescent="0.2">
      <c r="P9" s="26"/>
    </row>
    <row r="10" spans="16:24" s="23" customFormat="1" ht="23.25" x14ac:dyDescent="0.35">
      <c r="P10" s="25" t="s">
        <v>20</v>
      </c>
    </row>
    <row r="11" spans="16:24" s="23" customFormat="1" x14ac:dyDescent="0.2">
      <c r="P11" s="26"/>
    </row>
    <row r="12" spans="16:24" s="23" customFormat="1" ht="23.25" x14ac:dyDescent="0.35">
      <c r="P12" s="25" t="s">
        <v>19</v>
      </c>
    </row>
    <row r="15" spans="16:24" s="23" customFormat="1" ht="14.25" customHeight="1" x14ac:dyDescent="0.2"/>
    <row r="16" spans="16:24" s="23" customFormat="1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s="23" customFormat="1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s="23" customFormat="1" ht="18" customHeight="1" x14ac:dyDescent="0.25">
      <c r="U18" s="24"/>
      <c r="V18" s="24"/>
      <c r="W18" s="24"/>
      <c r="X18" s="24"/>
    </row>
    <row r="19" spans="16:24" s="23" customFormat="1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s="23" customFormat="1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4">
        <v>1</v>
      </c>
      <c r="B1" s="35" t="s">
        <v>21</v>
      </c>
      <c r="C1" s="35">
        <v>0</v>
      </c>
      <c r="D1" s="35">
        <v>0</v>
      </c>
      <c r="E1" s="35">
        <v>0</v>
      </c>
      <c r="F1" s="35">
        <f>INDEX(Data!$C$2:$N$19,ROW(),Processing!$K$1)</f>
        <v>100</v>
      </c>
      <c r="G1" s="35">
        <f>F1*$K$4</f>
        <v>100</v>
      </c>
      <c r="H1" s="35">
        <v>0</v>
      </c>
      <c r="I1" s="34">
        <f>ROUND(SUM(C1:H3)/SUM($C$1:$H$18)*100,0)</f>
        <v>22</v>
      </c>
      <c r="J1" s="34" t="str">
        <f>I1&amp;"%"</f>
        <v>22%</v>
      </c>
      <c r="K1" s="36">
        <v>1</v>
      </c>
      <c r="L1" s="29" t="s">
        <v>24</v>
      </c>
      <c r="N1" s="29" t="s">
        <v>23</v>
      </c>
    </row>
    <row r="2" spans="1:14" x14ac:dyDescent="0.2">
      <c r="A2" s="32"/>
      <c r="B2" s="33" t="s">
        <v>20</v>
      </c>
      <c r="C2" s="33">
        <v>0</v>
      </c>
      <c r="D2" s="33">
        <v>0</v>
      </c>
      <c r="E2" s="33">
        <v>0</v>
      </c>
      <c r="F2" s="33">
        <f>INDEX(Data!$C$2:$N$19,ROW(),Processing!$K$1)</f>
        <v>90</v>
      </c>
      <c r="G2" s="33">
        <f>F2*$K$5</f>
        <v>90</v>
      </c>
      <c r="H2" s="33">
        <v>0</v>
      </c>
      <c r="I2" s="32"/>
      <c r="J2" s="32"/>
      <c r="N2" s="29">
        <f>I1</f>
        <v>22</v>
      </c>
    </row>
    <row r="3" spans="1:14" ht="15" thickBot="1" x14ac:dyDescent="0.25">
      <c r="A3" s="30"/>
      <c r="B3" s="31" t="s">
        <v>19</v>
      </c>
      <c r="C3" s="31">
        <v>0</v>
      </c>
      <c r="D3" s="31">
        <v>0</v>
      </c>
      <c r="E3" s="31">
        <v>0</v>
      </c>
      <c r="F3" s="31">
        <f>INDEX(Data!$C$2:$N$19,ROW(),Processing!$K$1)</f>
        <v>70</v>
      </c>
      <c r="G3" s="31">
        <f>F3*$K$6</f>
        <v>70</v>
      </c>
      <c r="H3" s="31">
        <v>0</v>
      </c>
      <c r="I3" s="30"/>
      <c r="J3" s="30"/>
      <c r="L3" s="29" t="s">
        <v>22</v>
      </c>
      <c r="N3" s="29">
        <f>I4</f>
        <v>17</v>
      </c>
    </row>
    <row r="4" spans="1:14" ht="15" thickTop="1" x14ac:dyDescent="0.2">
      <c r="A4" s="34">
        <v>2</v>
      </c>
      <c r="B4" s="35" t="s">
        <v>21</v>
      </c>
      <c r="C4" s="35">
        <v>0</v>
      </c>
      <c r="D4" s="35">
        <v>0</v>
      </c>
      <c r="E4" s="35">
        <v>0</v>
      </c>
      <c r="F4" s="35">
        <v>0</v>
      </c>
      <c r="G4" s="35">
        <f>INDEX(Data!$C$2:$N$19,ROW(),Processing!$K$1)</f>
        <v>80</v>
      </c>
      <c r="H4" s="35">
        <f>G4*$K$4</f>
        <v>80</v>
      </c>
      <c r="I4" s="34">
        <f>ROUND(SUM(C4:H6)/SUM($C$1:$H$18)*100,0)</f>
        <v>17</v>
      </c>
      <c r="J4" s="34" t="str">
        <f>I4&amp;"%"</f>
        <v>17%</v>
      </c>
      <c r="K4" s="29" t="b">
        <v>1</v>
      </c>
      <c r="L4" s="29" t="s">
        <v>21</v>
      </c>
      <c r="N4" s="29">
        <f>I7</f>
        <v>13</v>
      </c>
    </row>
    <row r="5" spans="1:14" x14ac:dyDescent="0.2">
      <c r="A5" s="32"/>
      <c r="B5" s="33" t="s">
        <v>20</v>
      </c>
      <c r="C5" s="33">
        <v>0</v>
      </c>
      <c r="D5" s="33">
        <v>0</v>
      </c>
      <c r="E5" s="33">
        <v>0</v>
      </c>
      <c r="F5" s="33">
        <v>0</v>
      </c>
      <c r="G5" s="33">
        <f>INDEX(Data!$C$2:$N$19,ROW(),Processing!$K$1)</f>
        <v>70</v>
      </c>
      <c r="H5" s="33">
        <f>G5*$K$5</f>
        <v>70</v>
      </c>
      <c r="I5" s="32"/>
      <c r="J5" s="32"/>
      <c r="K5" s="29" t="b">
        <v>1</v>
      </c>
      <c r="L5" s="29" t="s">
        <v>20</v>
      </c>
      <c r="N5" s="29">
        <f>I10</f>
        <v>18</v>
      </c>
    </row>
    <row r="6" spans="1:14" ht="15" thickBot="1" x14ac:dyDescent="0.25">
      <c r="A6" s="30"/>
      <c r="B6" s="31" t="s">
        <v>19</v>
      </c>
      <c r="C6" s="31">
        <v>0</v>
      </c>
      <c r="D6" s="31">
        <v>0</v>
      </c>
      <c r="E6" s="31">
        <v>0</v>
      </c>
      <c r="F6" s="31">
        <v>0</v>
      </c>
      <c r="G6" s="31">
        <f>INDEX(Data!$C$2:$N$19,ROW(),Processing!$K$1)</f>
        <v>50</v>
      </c>
      <c r="H6" s="31">
        <f>G6*$K$6</f>
        <v>50</v>
      </c>
      <c r="I6" s="30"/>
      <c r="J6" s="30"/>
      <c r="K6" s="29" t="b">
        <v>1</v>
      </c>
      <c r="L6" s="29" t="s">
        <v>19</v>
      </c>
      <c r="N6" s="29">
        <f>I13</f>
        <v>14</v>
      </c>
    </row>
    <row r="7" spans="1:14" ht="15" thickTop="1" x14ac:dyDescent="0.2">
      <c r="A7" s="34">
        <v>3</v>
      </c>
      <c r="B7" s="35" t="s">
        <v>21</v>
      </c>
      <c r="C7" s="35">
        <f>INDEX(Data!$C$2:$N$19,ROW(),Processing!$K$1)</f>
        <v>60</v>
      </c>
      <c r="D7" s="35">
        <v>0</v>
      </c>
      <c r="E7" s="35">
        <v>0</v>
      </c>
      <c r="F7" s="35">
        <v>0</v>
      </c>
      <c r="G7" s="35">
        <v>0</v>
      </c>
      <c r="H7" s="35">
        <f>C7*$K$4</f>
        <v>60</v>
      </c>
      <c r="I7" s="34">
        <f>ROUND(SUM(C7:H9)/SUM($C$1:$H$18)*100,0)</f>
        <v>13</v>
      </c>
      <c r="J7" s="34" t="str">
        <f>I7&amp;"%"</f>
        <v>13%</v>
      </c>
      <c r="N7" s="29">
        <f>I16</f>
        <v>16</v>
      </c>
    </row>
    <row r="8" spans="1:14" x14ac:dyDescent="0.2">
      <c r="A8" s="32"/>
      <c r="B8" s="33" t="s">
        <v>20</v>
      </c>
      <c r="C8" s="33">
        <f>INDEX(Data!$C$2:$N$19,ROW(),Processing!$K$1)</f>
        <v>50</v>
      </c>
      <c r="D8" s="33">
        <v>0</v>
      </c>
      <c r="E8" s="33">
        <v>0</v>
      </c>
      <c r="F8" s="33">
        <v>0</v>
      </c>
      <c r="G8" s="33">
        <v>0</v>
      </c>
      <c r="H8" s="33">
        <f>C8*$K$5</f>
        <v>50</v>
      </c>
      <c r="I8" s="32"/>
      <c r="J8" s="32"/>
    </row>
    <row r="9" spans="1:14" ht="15" thickBot="1" x14ac:dyDescent="0.25">
      <c r="A9" s="30"/>
      <c r="B9" s="31" t="s">
        <v>19</v>
      </c>
      <c r="C9" s="31">
        <f>INDEX(Data!$C$2:$N$19,ROW(),Processing!$K$1)</f>
        <v>40</v>
      </c>
      <c r="D9" s="31">
        <v>0</v>
      </c>
      <c r="E9" s="31">
        <v>0</v>
      </c>
      <c r="F9" s="31">
        <v>0</v>
      </c>
      <c r="G9" s="31">
        <v>0</v>
      </c>
      <c r="H9" s="31">
        <f>C9*$K$6</f>
        <v>40</v>
      </c>
      <c r="I9" s="30"/>
      <c r="J9" s="30"/>
    </row>
    <row r="10" spans="1:14" ht="15" thickTop="1" x14ac:dyDescent="0.2">
      <c r="A10" s="34">
        <v>4</v>
      </c>
      <c r="B10" s="35" t="s">
        <v>21</v>
      </c>
      <c r="C10" s="35">
        <f>INDEX(Data!$C$2:$N$19,ROW(),Processing!$K$1)</f>
        <v>80</v>
      </c>
      <c r="D10" s="35">
        <f>C10*$K$4</f>
        <v>80</v>
      </c>
      <c r="E10" s="35">
        <v>0</v>
      </c>
      <c r="F10" s="35">
        <v>0</v>
      </c>
      <c r="G10" s="35">
        <v>0</v>
      </c>
      <c r="H10" s="35">
        <v>0</v>
      </c>
      <c r="I10" s="34">
        <f>ROUND(SUM(C10:H12)/SUM($C$1:$H$18)*100,0)</f>
        <v>18</v>
      </c>
      <c r="J10" s="34" t="str">
        <f>I10&amp;"%"</f>
        <v>18%</v>
      </c>
    </row>
    <row r="11" spans="1:14" x14ac:dyDescent="0.2">
      <c r="A11" s="32"/>
      <c r="B11" s="33" t="s">
        <v>20</v>
      </c>
      <c r="C11" s="33">
        <f>INDEX(Data!$C$2:$N$19,ROW(),Processing!$K$1)</f>
        <v>70</v>
      </c>
      <c r="D11" s="33">
        <f>C11*$K$5</f>
        <v>70</v>
      </c>
      <c r="E11" s="33">
        <v>0</v>
      </c>
      <c r="F11" s="33">
        <v>0</v>
      </c>
      <c r="G11" s="33">
        <v>0</v>
      </c>
      <c r="H11" s="33">
        <v>0</v>
      </c>
      <c r="I11" s="32"/>
      <c r="J11" s="32"/>
    </row>
    <row r="12" spans="1:14" ht="15" thickBot="1" x14ac:dyDescent="0.25">
      <c r="A12" s="30"/>
      <c r="B12" s="31" t="s">
        <v>19</v>
      </c>
      <c r="C12" s="31">
        <f>INDEX(Data!$C$2:$N$19,ROW(),Processing!$K$1)</f>
        <v>60</v>
      </c>
      <c r="D12" s="31">
        <f>C12*$K$6</f>
        <v>60</v>
      </c>
      <c r="E12" s="31">
        <v>0</v>
      </c>
      <c r="F12" s="31">
        <v>0</v>
      </c>
      <c r="G12" s="31">
        <v>0</v>
      </c>
      <c r="H12" s="31">
        <v>0</v>
      </c>
      <c r="I12" s="30"/>
      <c r="J12" s="30"/>
    </row>
    <row r="13" spans="1:14" ht="15" thickTop="1" x14ac:dyDescent="0.2">
      <c r="A13" s="34">
        <v>5</v>
      </c>
      <c r="B13" s="35" t="s">
        <v>21</v>
      </c>
      <c r="C13" s="35">
        <v>0</v>
      </c>
      <c r="D13" s="35">
        <f>INDEX(Data!$C$2:$N$19,ROW(),Processing!$K$1)</f>
        <v>70</v>
      </c>
      <c r="E13" s="35">
        <f>D13*$K$4</f>
        <v>70</v>
      </c>
      <c r="F13" s="35">
        <v>0</v>
      </c>
      <c r="G13" s="35">
        <v>0</v>
      </c>
      <c r="H13" s="35">
        <v>0</v>
      </c>
      <c r="I13" s="34">
        <f>ROUND(SUM(C13:H15)/SUM($C$1:$H$18)*100,0)</f>
        <v>14</v>
      </c>
      <c r="J13" s="34" t="str">
        <f>I13&amp;"%"</f>
        <v>14%</v>
      </c>
    </row>
    <row r="14" spans="1:14" x14ac:dyDescent="0.2">
      <c r="A14" s="32"/>
      <c r="B14" s="33" t="s">
        <v>20</v>
      </c>
      <c r="C14" s="33">
        <v>0</v>
      </c>
      <c r="D14" s="33">
        <f>INDEX(Data!$C$2:$N$19,ROW(),Processing!$K$1)</f>
        <v>60</v>
      </c>
      <c r="E14" s="33">
        <f>D14*$K$5</f>
        <v>60</v>
      </c>
      <c r="F14" s="33">
        <v>0</v>
      </c>
      <c r="G14" s="33">
        <v>0</v>
      </c>
      <c r="H14" s="33">
        <v>0</v>
      </c>
      <c r="I14" s="32"/>
      <c r="J14" s="32"/>
    </row>
    <row r="15" spans="1:14" ht="15" thickBot="1" x14ac:dyDescent="0.25">
      <c r="A15" s="30"/>
      <c r="B15" s="31" t="s">
        <v>19</v>
      </c>
      <c r="C15" s="31">
        <v>0</v>
      </c>
      <c r="D15" s="31">
        <f>INDEX(Data!$C$2:$N$19,ROW(),Processing!$K$1)</f>
        <v>30</v>
      </c>
      <c r="E15" s="31">
        <f>D15*$K$6</f>
        <v>30</v>
      </c>
      <c r="F15" s="31">
        <v>0</v>
      </c>
      <c r="G15" s="31">
        <v>0</v>
      </c>
      <c r="H15" s="31">
        <v>0</v>
      </c>
      <c r="I15" s="30"/>
      <c r="J15" s="30"/>
    </row>
    <row r="16" spans="1:14" ht="15" thickTop="1" x14ac:dyDescent="0.2">
      <c r="A16" s="34">
        <v>6</v>
      </c>
      <c r="B16" s="35" t="s">
        <v>21</v>
      </c>
      <c r="C16" s="35">
        <v>0</v>
      </c>
      <c r="D16" s="35">
        <v>0</v>
      </c>
      <c r="E16" s="35">
        <f>INDEX(Data!$C$2:$N$19,ROW(),Processing!$K$1)</f>
        <v>80</v>
      </c>
      <c r="F16" s="35">
        <f>E16*$K$4</f>
        <v>80</v>
      </c>
      <c r="G16" s="35">
        <v>0</v>
      </c>
      <c r="H16" s="35">
        <v>0</v>
      </c>
      <c r="I16" s="34">
        <f>ROUND(SUM(C16:H18)/SUM($C$1:$H$18)*100,0)</f>
        <v>16</v>
      </c>
      <c r="J16" s="34" t="str">
        <f>I16&amp;"%"</f>
        <v>16%</v>
      </c>
    </row>
    <row r="17" spans="1:10" x14ac:dyDescent="0.2">
      <c r="A17" s="32"/>
      <c r="B17" s="33" t="s">
        <v>20</v>
      </c>
      <c r="C17" s="33">
        <v>0</v>
      </c>
      <c r="D17" s="33">
        <v>0</v>
      </c>
      <c r="E17" s="33">
        <f>INDEX(Data!$C$2:$N$19,ROW(),Processing!$K$1)</f>
        <v>70</v>
      </c>
      <c r="F17" s="33">
        <f>E17*$K$5</f>
        <v>70</v>
      </c>
      <c r="G17" s="33">
        <v>0</v>
      </c>
      <c r="H17" s="33">
        <v>0</v>
      </c>
      <c r="I17" s="32"/>
      <c r="J17" s="32"/>
    </row>
    <row r="18" spans="1:10" ht="15" thickBot="1" x14ac:dyDescent="0.25">
      <c r="A18" s="30"/>
      <c r="B18" s="31" t="s">
        <v>19</v>
      </c>
      <c r="C18" s="31">
        <v>0</v>
      </c>
      <c r="D18" s="31">
        <v>0</v>
      </c>
      <c r="E18" s="31">
        <f>INDEX(Data!$C$2:$N$19,ROW(),Processing!$K$1)</f>
        <v>40</v>
      </c>
      <c r="F18" s="31">
        <f>E18*$K$6</f>
        <v>40</v>
      </c>
      <c r="G18" s="31">
        <v>0</v>
      </c>
      <c r="H18" s="31">
        <v>0</v>
      </c>
      <c r="I18" s="30"/>
      <c r="J18" s="30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3:A15"/>
    <mergeCell ref="I13:I15"/>
    <mergeCell ref="J13:J15"/>
    <mergeCell ref="A16:A18"/>
    <mergeCell ref="I16:I18"/>
    <mergeCell ref="J16:J18"/>
    <mergeCell ref="A7:A9"/>
    <mergeCell ref="I7:I9"/>
    <mergeCell ref="J7:J9"/>
    <mergeCell ref="A10:A12"/>
    <mergeCell ref="I10:I12"/>
    <mergeCell ref="J10:J12"/>
    <mergeCell ref="A1:A3"/>
    <mergeCell ref="I1:I3"/>
    <mergeCell ref="J1:J3"/>
    <mergeCell ref="A4:A6"/>
    <mergeCell ref="I4:I6"/>
    <mergeCell ref="J4:J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6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9" t="s">
        <v>38</v>
      </c>
      <c r="B1" s="39" t="s">
        <v>37</v>
      </c>
      <c r="C1" s="39" t="s">
        <v>36</v>
      </c>
      <c r="D1" s="38" t="s">
        <v>35</v>
      </c>
      <c r="E1" s="38" t="s">
        <v>34</v>
      </c>
      <c r="F1" s="38" t="s">
        <v>33</v>
      </c>
      <c r="G1" s="38" t="s">
        <v>32</v>
      </c>
      <c r="H1" s="38" t="s">
        <v>31</v>
      </c>
      <c r="I1" s="38" t="s">
        <v>30</v>
      </c>
      <c r="J1" s="38" t="s">
        <v>29</v>
      </c>
      <c r="K1" s="38" t="s">
        <v>28</v>
      </c>
      <c r="L1" s="38" t="s">
        <v>27</v>
      </c>
      <c r="M1" s="38" t="s">
        <v>26</v>
      </c>
      <c r="N1" s="38" t="s">
        <v>25</v>
      </c>
    </row>
    <row r="2" spans="1:14" x14ac:dyDescent="0.2">
      <c r="A2" s="36">
        <v>1</v>
      </c>
      <c r="B2" s="37" t="s">
        <v>21</v>
      </c>
      <c r="C2" s="36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6">
        <v>1</v>
      </c>
      <c r="B3" s="37" t="s">
        <v>20</v>
      </c>
      <c r="C3" s="36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6">
        <v>1</v>
      </c>
      <c r="B4" s="37" t="s">
        <v>19</v>
      </c>
      <c r="C4" s="36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6">
        <v>2</v>
      </c>
      <c r="B5" s="37" t="s">
        <v>21</v>
      </c>
      <c r="C5" s="36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6">
        <v>2</v>
      </c>
      <c r="B6" s="37" t="s">
        <v>20</v>
      </c>
      <c r="C6" s="36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6">
        <v>2</v>
      </c>
      <c r="B7" s="37" t="s">
        <v>19</v>
      </c>
      <c r="C7" s="36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6">
        <v>3</v>
      </c>
      <c r="B8" s="37" t="s">
        <v>21</v>
      </c>
      <c r="C8" s="36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6">
        <v>3</v>
      </c>
      <c r="B9" s="37" t="s">
        <v>20</v>
      </c>
      <c r="C9" s="36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6">
        <v>3</v>
      </c>
      <c r="B10" s="37" t="s">
        <v>19</v>
      </c>
      <c r="C10" s="36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6">
        <v>4</v>
      </c>
      <c r="B11" s="37" t="s">
        <v>21</v>
      </c>
      <c r="C11" s="36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6">
        <v>4</v>
      </c>
      <c r="B12" s="37" t="s">
        <v>20</v>
      </c>
      <c r="C12" s="36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6">
        <v>4</v>
      </c>
      <c r="B13" s="37" t="s">
        <v>19</v>
      </c>
      <c r="C13" s="36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6">
        <v>5</v>
      </c>
      <c r="B14" s="37" t="s">
        <v>21</v>
      </c>
      <c r="C14" s="36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6">
        <v>5</v>
      </c>
      <c r="B15" s="36" t="s">
        <v>20</v>
      </c>
      <c r="C15" s="36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6">
        <v>5</v>
      </c>
      <c r="B16" s="36" t="s">
        <v>19</v>
      </c>
      <c r="C16" s="36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6">
        <v>6</v>
      </c>
      <c r="B17" s="36" t="s">
        <v>21</v>
      </c>
      <c r="C17" s="36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6">
        <v>6</v>
      </c>
      <c r="B18" s="36" t="s">
        <v>20</v>
      </c>
      <c r="C18" s="36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6">
        <v>6</v>
      </c>
      <c r="B19" s="36" t="s">
        <v>19</v>
      </c>
      <c r="C19" s="36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2022-04-23T04:59:06Z</dcterms:modified>
</cp:coreProperties>
</file>